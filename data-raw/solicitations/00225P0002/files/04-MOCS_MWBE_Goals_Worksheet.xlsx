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sc.nycnet\mocs\mocs_user_data\philip.george\Desktop\RFS Submission Documents\"/>
    </mc:Choice>
  </mc:AlternateContent>
  <xr:revisionPtr revIDLastSave="0" documentId="8_{984F7101-3CCB-4DA0-A479-632D75ACE4B5}" xr6:coauthVersionLast="47" xr6:coauthVersionMax="47" xr10:uidLastSave="{00000000-0000-0000-0000-000000000000}"/>
  <bookViews>
    <workbookView xWindow="-120" yWindow="-120" windowWidth="23280" windowHeight="14040" activeTab="1" xr2:uid="{00000000-000D-0000-FFFF-FFFF00000000}"/>
  </bookViews>
  <sheets>
    <sheet name="Instructions" sheetId="2" r:id="rId1"/>
    <sheet name="Worksheet" sheetId="1" r:id="rId2"/>
    <sheet name="Procurement Software " sheetId="22" r:id="rId3"/>
    <sheet name="Procurement Development " sheetId="23" r:id="rId4"/>
    <sheet name="Sheet1" sheetId="4" state="hidden" r:id="rId5"/>
    <sheet name="Sheet3" sheetId="3" state="hidden" r:id="rId6"/>
  </sheets>
  <definedNames>
    <definedName name="_xlnm._FilterDatabase" localSheetId="3" hidden="1">'Procurement Development '!$A$1:$AV$43</definedName>
    <definedName name="_xlnm.Print_Area" localSheetId="0">Instructions!$A$1:$P$66</definedName>
    <definedName name="_xlnm.Print_Area" localSheetId="1">Worksheet!$A$1:$M$79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 l="1"/>
  <c r="B24" i="1"/>
  <c r="B25" i="1"/>
  <c r="B26" i="1"/>
  <c r="B27" i="1"/>
  <c r="B22" i="1"/>
  <c r="I23" i="1"/>
  <c r="I24" i="1"/>
  <c r="I25" i="1"/>
  <c r="I26" i="1"/>
  <c r="I22" i="1"/>
  <c r="G10" i="1" l="1"/>
  <c r="G15" i="1"/>
  <c r="G17" i="1"/>
  <c r="G14" i="1"/>
  <c r="G16" i="1"/>
  <c r="I55" i="1" l="1"/>
  <c r="I68" i="1"/>
  <c r="I67" i="1"/>
  <c r="I66" i="1"/>
  <c r="I65" i="1"/>
  <c r="I64" i="1"/>
  <c r="I63" i="1"/>
  <c r="I62" i="1"/>
  <c r="I61" i="1"/>
  <c r="I60" i="1"/>
  <c r="I59" i="1"/>
  <c r="I58" i="1"/>
  <c r="I57" i="1"/>
  <c r="I56" i="1"/>
  <c r="I27" i="1"/>
  <c r="I28" i="1"/>
  <c r="I29" i="1"/>
  <c r="I30" i="1"/>
  <c r="I31" i="1"/>
  <c r="I32" i="1"/>
  <c r="I33" i="1"/>
  <c r="I34" i="1"/>
  <c r="I35" i="1"/>
  <c r="I36" i="1"/>
  <c r="I37" i="1"/>
  <c r="I38" i="1"/>
  <c r="I39" i="1"/>
  <c r="I40" i="1"/>
  <c r="I41" i="1"/>
  <c r="I42" i="1"/>
  <c r="G18" i="1"/>
  <c r="C7" i="3"/>
  <c r="C1" i="3"/>
  <c r="G11" i="1" l="1"/>
  <c r="G13" i="1"/>
  <c r="I12" i="1"/>
  <c r="J12" i="1" l="1"/>
  <c r="G12" i="1" s="1"/>
</calcChain>
</file>

<file path=xl/sharedStrings.xml><?xml version="1.0" encoding="utf-8"?>
<sst xmlns="http://schemas.openxmlformats.org/spreadsheetml/2006/main" count="2489" uniqueCount="1202">
  <si>
    <t>Project Title</t>
  </si>
  <si>
    <r>
      <rPr>
        <b/>
        <sz val="11"/>
        <color indexed="10"/>
        <rFont val="Calibri"/>
        <family val="2"/>
      </rPr>
      <t>Step 1:</t>
    </r>
    <r>
      <rPr>
        <b/>
        <sz val="11"/>
        <color indexed="8"/>
        <rFont val="Calibri"/>
        <family val="2"/>
      </rPr>
      <t xml:space="preserve"> Overall Contract Info</t>
    </r>
  </si>
  <si>
    <t>Total Est. Value of Contract</t>
  </si>
  <si>
    <t/>
  </si>
  <si>
    <r>
      <rPr>
        <b/>
        <sz val="11"/>
        <color indexed="10"/>
        <rFont val="Calibri"/>
        <family val="2"/>
      </rPr>
      <t xml:space="preserve">Step 3: 
</t>
    </r>
    <r>
      <rPr>
        <b/>
        <sz val="11"/>
        <color indexed="8"/>
        <rFont val="Calibri"/>
        <family val="2"/>
      </rPr>
      <t>Est. Value of Subcontracts</t>
    </r>
  </si>
  <si>
    <t>Yes</t>
  </si>
  <si>
    <r>
      <rPr>
        <b/>
        <sz val="11"/>
        <color indexed="10"/>
        <rFont val="Calibri"/>
        <family val="2"/>
      </rPr>
      <t xml:space="preserve">Step 4: 
</t>
    </r>
    <r>
      <rPr>
        <b/>
        <sz val="11"/>
        <rFont val="Calibri"/>
        <family val="2"/>
      </rPr>
      <t xml:space="preserve">NIGP Codes  </t>
    </r>
  </si>
  <si>
    <t>Example:  Landscaping (Landscape, Landscaper, etc.)</t>
  </si>
  <si>
    <r>
      <rPr>
        <b/>
        <sz val="11"/>
        <color indexed="10"/>
        <rFont val="Calibri"/>
        <family val="2"/>
      </rPr>
      <t xml:space="preserve">Step 5: 
</t>
    </r>
    <r>
      <rPr>
        <b/>
        <sz val="11"/>
        <color indexed="8"/>
        <rFont val="Calibri"/>
        <family val="2"/>
      </rPr>
      <t xml:space="preserve"># of M/WBEs </t>
    </r>
  </si>
  <si>
    <r>
      <rPr>
        <b/>
        <sz val="11"/>
        <color indexed="10"/>
        <rFont val="Calibri"/>
        <family val="2"/>
      </rPr>
      <t>Step 6:</t>
    </r>
    <r>
      <rPr>
        <b/>
        <sz val="11"/>
        <color indexed="8"/>
        <rFont val="Calibri"/>
        <family val="2"/>
      </rPr>
      <t xml:space="preserve"> 
# of MWBEs After
Agency Capacity Adjustments </t>
    </r>
  </si>
  <si>
    <t>912, 913</t>
  </si>
  <si>
    <t>Prime Work Area Capacity Justifications (Process/Procedure)*</t>
  </si>
  <si>
    <t>Subcontracting Area Capacity Justifications (Process/Procedure)*</t>
  </si>
  <si>
    <t>No</t>
  </si>
  <si>
    <t>Total Est. Value of Subcontracts Areas</t>
  </si>
  <si>
    <r>
      <rPr>
        <b/>
        <sz val="11"/>
        <color indexed="10"/>
        <rFont val="Calibri"/>
        <family val="2"/>
      </rPr>
      <t xml:space="preserve">Step 2: </t>
    </r>
    <r>
      <rPr>
        <b/>
        <sz val="11"/>
        <color indexed="8"/>
        <rFont val="Calibri"/>
        <family val="2"/>
      </rPr>
      <t xml:space="preserve"> 
Subcontracting Areas and Keywords </t>
    </r>
  </si>
  <si>
    <t>M/WBE Participation Goal (%): 
Total M/WBE Award/Total Contract Value</t>
  </si>
  <si>
    <t xml:space="preserve">               NYC M/WBE Participation Goals Worksheet</t>
  </si>
  <si>
    <t>Total Estimated M/WBEs Award Value (Subcontracting + Prime Work Areas)</t>
  </si>
  <si>
    <r>
      <rPr>
        <b/>
        <sz val="11"/>
        <color rgb="FFFF0000"/>
        <rFont val="Calibri"/>
        <family val="2"/>
      </rPr>
      <t>Calculated:</t>
    </r>
    <r>
      <rPr>
        <b/>
        <sz val="11"/>
        <color indexed="8"/>
        <rFont val="Calibri"/>
        <family val="2"/>
      </rPr>
      <t xml:space="preserve">
Total Estimated M/WBEs Award Value</t>
    </r>
  </si>
  <si>
    <r>
      <rPr>
        <b/>
        <sz val="11"/>
        <color indexed="10"/>
        <rFont val="Calibri"/>
        <family val="2"/>
      </rPr>
      <t>Step 9:</t>
    </r>
    <r>
      <rPr>
        <b/>
        <sz val="11"/>
        <color indexed="8"/>
        <rFont val="Calibri"/>
        <family val="2"/>
      </rPr>
      <t xml:space="preserve">  
Select Disaggregated or Unspecified Goal</t>
    </r>
  </si>
  <si>
    <t>Unspecified</t>
  </si>
  <si>
    <t>Asian American</t>
  </si>
  <si>
    <t>Black American</t>
  </si>
  <si>
    <t>Hispanic American</t>
  </si>
  <si>
    <t>Caucasian WBE</t>
  </si>
  <si>
    <t>Native American</t>
  </si>
  <si>
    <r>
      <rPr>
        <b/>
        <sz val="11"/>
        <color indexed="10"/>
        <rFont val="Calibri"/>
        <family val="2"/>
      </rPr>
      <t xml:space="preserve">Step 10: </t>
    </r>
    <r>
      <rPr>
        <b/>
        <sz val="11"/>
        <color indexed="8"/>
        <rFont val="Calibri"/>
        <family val="2"/>
      </rPr>
      <t xml:space="preserve"> 
Prime Work Areas and Keywords</t>
    </r>
  </si>
  <si>
    <r>
      <rPr>
        <b/>
        <sz val="11"/>
        <color indexed="10"/>
        <rFont val="Calibri"/>
        <family val="2"/>
      </rPr>
      <t>Final Step:</t>
    </r>
    <r>
      <rPr>
        <b/>
        <sz val="11"/>
        <color indexed="8"/>
        <rFont val="Calibri"/>
        <family val="2"/>
      </rPr>
      <t xml:space="preserve">  Worksheet Calculations</t>
    </r>
  </si>
  <si>
    <r>
      <rPr>
        <b/>
        <sz val="11"/>
        <color indexed="10"/>
        <rFont val="Calibri"/>
        <family val="2"/>
      </rPr>
      <t xml:space="preserve">Step 11: 
</t>
    </r>
    <r>
      <rPr>
        <b/>
        <sz val="11"/>
        <color indexed="8"/>
        <rFont val="Calibri"/>
        <family val="2"/>
      </rPr>
      <t>Est. Value of Prime Work Area</t>
    </r>
  </si>
  <si>
    <r>
      <rPr>
        <b/>
        <sz val="11"/>
        <color indexed="10"/>
        <rFont val="Calibri"/>
        <family val="2"/>
      </rPr>
      <t xml:space="preserve">Step 12: </t>
    </r>
    <r>
      <rPr>
        <b/>
        <sz val="11"/>
        <color indexed="8"/>
        <rFont val="Calibri"/>
        <family val="2"/>
      </rPr>
      <t xml:space="preserve">
NIGP Codes  </t>
    </r>
  </si>
  <si>
    <r>
      <rPr>
        <b/>
        <sz val="11"/>
        <color indexed="10"/>
        <rFont val="Calibri"/>
        <family val="2"/>
      </rPr>
      <t xml:space="preserve">Step 13: 
</t>
    </r>
    <r>
      <rPr>
        <b/>
        <sz val="11"/>
        <color indexed="8"/>
        <rFont val="Calibri"/>
        <family val="2"/>
      </rPr>
      <t xml:space="preserve"># of M/WBEs </t>
    </r>
  </si>
  <si>
    <r>
      <rPr>
        <b/>
        <sz val="11"/>
        <color indexed="10"/>
        <rFont val="Calibri"/>
        <family val="2"/>
      </rPr>
      <t>Step 14:</t>
    </r>
    <r>
      <rPr>
        <b/>
        <sz val="11"/>
        <color indexed="8"/>
        <rFont val="Calibri"/>
        <family val="2"/>
      </rPr>
      <t xml:space="preserve"> 
# of MWBEs After
Agency Capacity Adjustments </t>
    </r>
  </si>
  <si>
    <r>
      <rPr>
        <b/>
        <sz val="11"/>
        <color indexed="10"/>
        <rFont val="Calibri"/>
        <family val="2"/>
      </rPr>
      <t>Calculated:</t>
    </r>
    <r>
      <rPr>
        <b/>
        <sz val="11"/>
        <color indexed="8"/>
        <rFont val="Calibri"/>
        <family val="2"/>
      </rPr>
      <t xml:space="preserve">
Total Estimated M/WBEs Award Value</t>
    </r>
  </si>
  <si>
    <r>
      <rPr>
        <b/>
        <sz val="11"/>
        <color indexed="10"/>
        <rFont val="Calibri"/>
        <family val="2"/>
      </rPr>
      <t>Step 7:</t>
    </r>
    <r>
      <rPr>
        <b/>
        <sz val="11"/>
        <color indexed="8"/>
        <rFont val="Calibri"/>
        <family val="2"/>
      </rPr>
      <t xml:space="preserve">  
# of M/WBEs to support disaggregated (or unspecified) goal</t>
    </r>
  </si>
  <si>
    <r>
      <rPr>
        <b/>
        <sz val="11"/>
        <color indexed="10"/>
        <rFont val="Calibri"/>
        <family val="2"/>
      </rPr>
      <t>Step 8:</t>
    </r>
    <r>
      <rPr>
        <b/>
        <sz val="11"/>
        <color indexed="8"/>
        <rFont val="Calibri"/>
        <family val="2"/>
      </rPr>
      <t xml:space="preserve">  
Is there sufficient availability of M/WBEs?</t>
    </r>
  </si>
  <si>
    <r>
      <rPr>
        <b/>
        <sz val="11"/>
        <color indexed="10"/>
        <rFont val="Calibri"/>
        <family val="2"/>
      </rPr>
      <t>Step 15:</t>
    </r>
    <r>
      <rPr>
        <b/>
        <sz val="11"/>
        <color indexed="8"/>
        <rFont val="Calibri"/>
        <family val="2"/>
      </rPr>
      <t xml:space="preserve">  
# of M/WBEs to support disaggregated (or unspecified) goal</t>
    </r>
  </si>
  <si>
    <r>
      <rPr>
        <b/>
        <sz val="11"/>
        <color indexed="10"/>
        <rFont val="Calibri"/>
        <family val="2"/>
      </rPr>
      <t>Step 16:</t>
    </r>
    <r>
      <rPr>
        <b/>
        <sz val="11"/>
        <color indexed="8"/>
        <rFont val="Calibri"/>
        <family val="2"/>
      </rPr>
      <t xml:space="preserve">  
Is there sufficient availability of M/WBEs?</t>
    </r>
  </si>
  <si>
    <r>
      <rPr>
        <b/>
        <sz val="11"/>
        <color indexed="10"/>
        <rFont val="Calibri"/>
        <family val="2"/>
      </rPr>
      <t>Step 17:</t>
    </r>
    <r>
      <rPr>
        <b/>
        <sz val="11"/>
        <color indexed="8"/>
        <rFont val="Calibri"/>
        <family val="2"/>
      </rPr>
      <t xml:space="preserve">  
Select Disaggregated or Unspecified Goal</t>
    </r>
  </si>
  <si>
    <t>Select Category from Drop Down</t>
  </si>
  <si>
    <t>Unspecified (%)</t>
  </si>
  <si>
    <t>Asian American (%)</t>
  </si>
  <si>
    <t>Black American (%)</t>
  </si>
  <si>
    <t>Hispanic American (%)</t>
  </si>
  <si>
    <t>Caucasian WBE (%)</t>
  </si>
  <si>
    <t>Native American (%)</t>
  </si>
  <si>
    <t>EPIN</t>
  </si>
  <si>
    <t>* This form must be uploaded to PASSPort, along with supporting M/WBE online directory search results, in order for the PSR Process to be considered complete.</t>
  </si>
  <si>
    <t>100%</t>
  </si>
  <si>
    <t>$10,000.00</t>
  </si>
  <si>
    <t>$45,000.00</t>
  </si>
  <si>
    <t>Non-Minority</t>
  </si>
  <si>
    <t xml:space="preserve">WBE </t>
  </si>
  <si>
    <t>Enrolled in PASSPort</t>
  </si>
  <si>
    <t>Capacity Building Programs</t>
  </si>
  <si>
    <t>Description of Work - Job Exp 3</t>
  </si>
  <si>
    <t>Date of Work - Job Exp 3</t>
  </si>
  <si>
    <t>Percent Self Performed - Job Exp 3</t>
  </si>
  <si>
    <t>Value of Contract - Job Exp 3</t>
  </si>
  <si>
    <t>Name of Client - Job Exp 3</t>
  </si>
  <si>
    <t>Description of Work - Job Exp 2</t>
  </si>
  <si>
    <t>Date of Work - Job Exp 2</t>
  </si>
  <si>
    <t>Percent Self Performed - Job Exp 2</t>
  </si>
  <si>
    <t>Value of Contract - Job Exp 2</t>
  </si>
  <si>
    <t>Name of Client - Job Exp 2</t>
  </si>
  <si>
    <t>Description of Work - Job Exp 1</t>
  </si>
  <si>
    <t>Date of Work - Job Exp 1</t>
  </si>
  <si>
    <t>Percent Self Performed - Job Exp 1</t>
  </si>
  <si>
    <t>Largest Value of Contract</t>
  </si>
  <si>
    <t>Name of Client - Job Exp 1</t>
  </si>
  <si>
    <t>NIGP codes</t>
  </si>
  <si>
    <t>Types of Construction Projects Performed</t>
  </si>
  <si>
    <t>NAICS Title</t>
  </si>
  <si>
    <t>NAICS Subsector</t>
  </si>
  <si>
    <t>NAICS Sector</t>
  </si>
  <si>
    <t>6 digit NAICS code</t>
  </si>
  <si>
    <t>Signatory to Union Contract(s)</t>
  </si>
  <si>
    <t>Aggregate Bonding Limit</t>
  </si>
  <si>
    <t>Date of Establishment</t>
  </si>
  <si>
    <t>Website</t>
  </si>
  <si>
    <t>Mailing Zip</t>
  </si>
  <si>
    <t>Mailing State</t>
  </si>
  <si>
    <t>Mailing City</t>
  </si>
  <si>
    <t>Mailing Address Line 2</t>
  </si>
  <si>
    <t>Mailing Address Line 1</t>
  </si>
  <si>
    <t>Zip</t>
  </si>
  <si>
    <t>State</t>
  </si>
  <si>
    <t>City</t>
  </si>
  <si>
    <t>Address Line 2</t>
  </si>
  <si>
    <t>Address Line 1</t>
  </si>
  <si>
    <t>Ethnicity</t>
  </si>
  <si>
    <t>Certification Renewal Date</t>
  </si>
  <si>
    <t>Certification</t>
  </si>
  <si>
    <t>Business Description</t>
  </si>
  <si>
    <t>Email</t>
  </si>
  <si>
    <t>Telephone</t>
  </si>
  <si>
    <t>Last Name</t>
  </si>
  <si>
    <t>First Name</t>
  </si>
  <si>
    <t>Vendor DBA</t>
  </si>
  <si>
    <t>Vendor Formal Name</t>
  </si>
  <si>
    <t>Account Number</t>
  </si>
  <si>
    <t>services</t>
  </si>
  <si>
    <t>codecategory</t>
  </si>
  <si>
    <t>Search Parameters</t>
  </si>
  <si>
    <t>Matching Records:</t>
  </si>
  <si>
    <t>Export Date:</t>
  </si>
  <si>
    <t>$5,000.00</t>
  </si>
  <si>
    <t>Arts, Entertainment, and Recreation</t>
  </si>
  <si>
    <t>New York</t>
  </si>
  <si>
    <t>Hispanic</t>
  </si>
  <si>
    <t xml:space="preserve">2/28/2027 </t>
  </si>
  <si>
    <t xml:space="preserve">M/WBE </t>
  </si>
  <si>
    <t>Management, Scientific, and Technical Consulting Services</t>
  </si>
  <si>
    <t>Professional, Scientific, and Technical Services</t>
  </si>
  <si>
    <t>10019</t>
  </si>
  <si>
    <t>Black</t>
  </si>
  <si>
    <t xml:space="preserve">MBE </t>
  </si>
  <si>
    <t>$6,000.00</t>
  </si>
  <si>
    <t xml:space="preserve">8/31/2025 </t>
  </si>
  <si>
    <t>$60,000.00</t>
  </si>
  <si>
    <t>10024</t>
  </si>
  <si>
    <t>Susan</t>
  </si>
  <si>
    <t>Computer Systems Design Services</t>
  </si>
  <si>
    <t>Computer Systems Design and Related Services</t>
  </si>
  <si>
    <t>541512</t>
  </si>
  <si>
    <t>Administrative Management and General Management Consulting Services</t>
  </si>
  <si>
    <t>541611</t>
  </si>
  <si>
    <t xml:space="preserve">3/31/2027 </t>
  </si>
  <si>
    <t>Carlos</t>
  </si>
  <si>
    <t>10013</t>
  </si>
  <si>
    <t>40%</t>
  </si>
  <si>
    <t>Brooklyn</t>
  </si>
  <si>
    <t>Engineering Services</t>
  </si>
  <si>
    <t>Architectural, Engineering, and Related Services</t>
  </si>
  <si>
    <t>541330</t>
  </si>
  <si>
    <t>New Jersey</t>
  </si>
  <si>
    <t xml:space="preserve">10/31/2025 </t>
  </si>
  <si>
    <t>$1,500.00</t>
  </si>
  <si>
    <t>Activities Related to Real Estate</t>
  </si>
  <si>
    <t>Real Estate and Rental and Leasing</t>
  </si>
  <si>
    <t>Asian-Pacific</t>
  </si>
  <si>
    <t xml:space="preserve">1/31/2028 </t>
  </si>
  <si>
    <t>California</t>
  </si>
  <si>
    <t>$3,500.00</t>
  </si>
  <si>
    <t>Drafting Services</t>
  </si>
  <si>
    <t>541340</t>
  </si>
  <si>
    <t>11375</t>
  </si>
  <si>
    <t>Forest Hills</t>
  </si>
  <si>
    <t xml:space="preserve">6/30/2028 </t>
  </si>
  <si>
    <t>50%</t>
  </si>
  <si>
    <t>10471</t>
  </si>
  <si>
    <t>Bronx</t>
  </si>
  <si>
    <t>Other Services (except Public Administration)</t>
  </si>
  <si>
    <t xml:space="preserve">1/31/2027 </t>
  </si>
  <si>
    <t xml:space="preserve">3/31/2028 </t>
  </si>
  <si>
    <t>$400,000.00</t>
  </si>
  <si>
    <t>$500,000.00</t>
  </si>
  <si>
    <t>Administrative and Support and Waste Management and Remediation Services</t>
  </si>
  <si>
    <t xml:space="preserve">5/31/2027 </t>
  </si>
  <si>
    <t>All Other Professional, Scientific, and Technical Services</t>
  </si>
  <si>
    <t>Other Professional, Scientific, and Technical Services</t>
  </si>
  <si>
    <t>541990</t>
  </si>
  <si>
    <t xml:space="preserve">3/31/2026 </t>
  </si>
  <si>
    <t>Wholesale Trade</t>
  </si>
  <si>
    <t>10001</t>
  </si>
  <si>
    <t>$3,000.00</t>
  </si>
  <si>
    <t xml:space="preserve">12/31/2027 </t>
  </si>
  <si>
    <t>David</t>
  </si>
  <si>
    <t>10461</t>
  </si>
  <si>
    <t>Asian-Indian</t>
  </si>
  <si>
    <t>90%</t>
  </si>
  <si>
    <t>$20,000.00</t>
  </si>
  <si>
    <t>Business Support Services</t>
  </si>
  <si>
    <t xml:space="preserve">6/30/2025 </t>
  </si>
  <si>
    <t>$22,500.00</t>
  </si>
  <si>
    <t>$40,000.00</t>
  </si>
  <si>
    <t>70%</t>
  </si>
  <si>
    <t>$750,000.00</t>
  </si>
  <si>
    <t>Jamaica</t>
  </si>
  <si>
    <t>$2,000,000.00</t>
  </si>
  <si>
    <t xml:space="preserve">6/30/2026 </t>
  </si>
  <si>
    <t>11418</t>
  </si>
  <si>
    <t>Ridgewood</t>
  </si>
  <si>
    <t>Construction</t>
  </si>
  <si>
    <t>75%</t>
  </si>
  <si>
    <t>80%</t>
  </si>
  <si>
    <t xml:space="preserve">2/28/2025 </t>
  </si>
  <si>
    <t xml:space="preserve">9/30/2028 </t>
  </si>
  <si>
    <t>$25,000.00</t>
  </si>
  <si>
    <t xml:space="preserve">11/30/2025 </t>
  </si>
  <si>
    <t>11211</t>
  </si>
  <si>
    <t>Connecticut</t>
  </si>
  <si>
    <t>Building Construction (non-Residential), Residential Building Construction</t>
  </si>
  <si>
    <t>Other Specialized Design Services</t>
  </si>
  <si>
    <t>Specialized Design Services</t>
  </si>
  <si>
    <t>541490</t>
  </si>
  <si>
    <t>$0.00</t>
  </si>
  <si>
    <t>Other Activities Related to Real Estate</t>
  </si>
  <si>
    <t>531390</t>
  </si>
  <si>
    <t>Danielle</t>
  </si>
  <si>
    <t>Residential Building Construction</t>
  </si>
  <si>
    <t xml:space="preserve">3/31/2025 </t>
  </si>
  <si>
    <t>Ferguson</t>
  </si>
  <si>
    <t>Pennsylvania</t>
  </si>
  <si>
    <t>$30,000.00</t>
  </si>
  <si>
    <t>20%</t>
  </si>
  <si>
    <t>20300|20500|63100|64100|64600|96754|99842|500|3100|3500|9500|9577|19000|20000|20016|20032|20034|20085|20086|20087|20088|20100|20117|20137|20600|20700|26900|28700|31500|32000|34000|34034|34500|34556|34572|34574|43568|43570|43571|43572|43573|45000|46000|46500|47000|47500|54000|57002|60000|61000|61500|63000|64000|64500|65200|66527|68000|74500|75500|77026|82000|85000|89500|91803|91850|91871|91883</t>
  </si>
  <si>
    <t>Other Professional Equipment and Supplies Merchant Wholesalers</t>
  </si>
  <si>
    <t>Professional and Commercial Equipment and Supplies Merchant Wholesalers</t>
  </si>
  <si>
    <t>423490</t>
  </si>
  <si>
    <t>9/7/2014 12:00:00 AM</t>
  </si>
  <si>
    <t>https://www.hyperionadvisory.co</t>
  </si>
  <si>
    <t>10003</t>
  </si>
  <si>
    <t>#37193</t>
  </si>
  <si>
    <t>228 Park Avenue South</t>
  </si>
  <si>
    <t xml:space="preserve">1/31/2029 </t>
  </si>
  <si>
    <t>Hyperion's procurement optimization offering provides both its public and private sector clients with the tactical sourcing, invoice financing and purchase order fulfillment of goods.
We work directly with contract and purchasing officers to streamline the supply chain management processes that improve the cost efficiencies of client organizations' procurement efforts.
Product Categories (primary) - 
Raw Materials
 - Construction Material
 - Hardware
 - HVAC Supplies
 - Industrial Supplies
 - Plumbing Supplies
 - Pneumatic/Hydraulic Parts
 - Security Equipment/Security Hardware
 - Specialized Lubricants and Chemicals for NDE (Non-Destructive Evaluation)
Component Parts
 - Aircraft Parts
 - Automobile Parts and Services
 - Custom Engineered Components
 - Electrical Supplies
Fasteners
 - Varied (i.e. nuts, bolts, rivets, screws, washers, spacers, etc...)
Other
 - Automobiles
 - Computers/Printers
 - Computer Software and Licenses
 - Freight Forwarding
 - IT/Communications
 - Leases and Rentals of Vehicles and Equipment
 - Personal Hygiene</t>
  </si>
  <si>
    <t>adesir@hyperionadvisory.co</t>
  </si>
  <si>
    <t>646-543-6126</t>
  </si>
  <si>
    <t>Desir</t>
  </si>
  <si>
    <t>Archel</t>
  </si>
  <si>
    <t>Hyperion Advisory LLC</t>
  </si>
  <si>
    <t>ACC0000100382</t>
  </si>
  <si>
    <t>Suite 100</t>
  </si>
  <si>
    <t>$36,000.00</t>
  </si>
  <si>
    <t>Public Administration</t>
  </si>
  <si>
    <t>11412</t>
  </si>
  <si>
    <t>Virginia</t>
  </si>
  <si>
    <t xml:space="preserve">4/30/2028 </t>
  </si>
  <si>
    <t>Document Preparation Services</t>
  </si>
  <si>
    <t>561410</t>
  </si>
  <si>
    <t>10012</t>
  </si>
  <si>
    <t xml:space="preserve">7/31/2027 </t>
  </si>
  <si>
    <t>$1,050.00</t>
  </si>
  <si>
    <t>Illinois</t>
  </si>
  <si>
    <t>10011</t>
  </si>
  <si>
    <t>Queens Public Library</t>
  </si>
  <si>
    <t>95294|95295|96234|91802|91803|91821|91823|91824|91841|91872</t>
  </si>
  <si>
    <t>8/1/1993 12:00:00 AM</t>
  </si>
  <si>
    <t>11691</t>
  </si>
  <si>
    <t>Far Rockaway</t>
  </si>
  <si>
    <t>2816 Deerfield Road</t>
  </si>
  <si>
    <t>Provide diversified services for personal and business clients, including, computer training, forms design, resume &amp; tax preparation, copy editing, marketing, professional development, group and emergency preparedness training, vendor procurement.</t>
  </si>
  <si>
    <t>solutions@deneanferguson.com</t>
  </si>
  <si>
    <t>646-552-8453</t>
  </si>
  <si>
    <t>Denean</t>
  </si>
  <si>
    <t>Real-T Solutions</t>
  </si>
  <si>
    <t>Denean Ferguson</t>
  </si>
  <si>
    <t>ACC0000011896</t>
  </si>
  <si>
    <t>$115,000.00</t>
  </si>
  <si>
    <t>$150,000.00</t>
  </si>
  <si>
    <t>10010</t>
  </si>
  <si>
    <t xml:space="preserve">5/31/2028 </t>
  </si>
  <si>
    <t>Project management, 
recruitment, human 
resources, IT, finance, 
staffing, business 
development, oversee all 
operations, construction, 
compliance, MWBE</t>
  </si>
  <si>
    <t>$100,000.00</t>
  </si>
  <si>
    <t>Citistructure</t>
  </si>
  <si>
    <t>Project management, 
recruitment, human 
resources, IT, finance, 
staffing, business 
development, oversee 
all operations, 
construction, 
compliance, MWB</t>
  </si>
  <si>
    <t>Penda Aiken</t>
  </si>
  <si>
    <t>Carter Lard Consulting</t>
  </si>
  <si>
    <t>95874|95877|96127|96269|90903|90933|91803|91862|91871|91880</t>
  </si>
  <si>
    <t>1/1/2000 12:00:00 AM</t>
  </si>
  <si>
    <t>www.carterlardconsulting.com.</t>
  </si>
  <si>
    <t>10591</t>
  </si>
  <si>
    <t>Tarrytown</t>
  </si>
  <si>
    <t>ceo@carterlardconsulting.com</t>
  </si>
  <si>
    <t>917-538-2897</t>
  </si>
  <si>
    <t>ACC0000341946</t>
  </si>
  <si>
    <t>Lard</t>
  </si>
  <si>
    <t>Carter</t>
  </si>
  <si>
    <t>$8,000,000.00</t>
  </si>
  <si>
    <t>Other Scientific and Technical Consulting Services</t>
  </si>
  <si>
    <t>541690</t>
  </si>
  <si>
    <t>$350,000.00</t>
  </si>
  <si>
    <t>Keith</t>
  </si>
  <si>
    <t>Building Construction (non-Residential)</t>
  </si>
  <si>
    <t>Computing Infrastructure Providers, Data Processing, Web Hosting, and Related Services</t>
  </si>
  <si>
    <t>Information</t>
  </si>
  <si>
    <t>518210</t>
  </si>
  <si>
    <t xml:space="preserve">6/30/2027 </t>
  </si>
  <si>
    <t>$3,000,000.00</t>
  </si>
  <si>
    <t>$600,000.00</t>
  </si>
  <si>
    <t xml:space="preserve">7/31/2026 </t>
  </si>
  <si>
    <t>$95,000.00</t>
  </si>
  <si>
    <t>$7,000.00</t>
  </si>
  <si>
    <t xml:space="preserve">11/30/2024 </t>
  </si>
  <si>
    <t>Brian</t>
  </si>
  <si>
    <t>11422</t>
  </si>
  <si>
    <t>Rosedale</t>
  </si>
  <si>
    <t>12/31/2019</t>
  </si>
  <si>
    <t>Michael</t>
  </si>
  <si>
    <t>$300,000.00</t>
  </si>
  <si>
    <t>Custom Computer Programming Services</t>
  </si>
  <si>
    <t>541511</t>
  </si>
  <si>
    <t>11003</t>
  </si>
  <si>
    <t>Elmont</t>
  </si>
  <si>
    <t>0%</t>
  </si>
  <si>
    <t>$8,500.00</t>
  </si>
  <si>
    <t>1/7/2019 12:00:00 AM</t>
  </si>
  <si>
    <t>Judith</t>
  </si>
  <si>
    <t xml:space="preserve">12/31/2026 </t>
  </si>
  <si>
    <t>11210</t>
  </si>
  <si>
    <t>Benjamin</t>
  </si>
  <si>
    <t>$48,000.00</t>
  </si>
  <si>
    <t>11/16/2020</t>
  </si>
  <si>
    <t>Albany</t>
  </si>
  <si>
    <t>$70,000.00</t>
  </si>
  <si>
    <t>15%</t>
  </si>
  <si>
    <t>10018</t>
  </si>
  <si>
    <t>Newark</t>
  </si>
  <si>
    <t>30%</t>
  </si>
  <si>
    <t xml:space="preserve">9/30/2025 </t>
  </si>
  <si>
    <t xml:space="preserve">1/31/2025 </t>
  </si>
  <si>
    <t>$26,000.00</t>
  </si>
  <si>
    <t>07102</t>
  </si>
  <si>
    <t>12/31/2010</t>
  </si>
  <si>
    <t>5/1/2020</t>
  </si>
  <si>
    <t>$80,000.00</t>
  </si>
  <si>
    <t>25%</t>
  </si>
  <si>
    <t>Carter Lard Consulting (CLC) provides MWBE consulting services in all areas of compliance, risk assessment and management, HR management, cost reduction, expense management, networking and team collaboration, education, training and development, and administration. We provide workforce and subcontractor opportunities in construction and other areas of staffing. We work with federal, state and local fair labor agencies to ensure regulatory compliance, and we collaborate with community organizations to infiltrate impoverished neighborhoods. We are a network of companies and professionals who work collaboratively to provide targeted, measurable solutions to enhance MWBE growth and participation. CLC includes members who have extensive experience in both the government and private sectors. These individuals have successfully implemented strategies to achieve MWBE compliance. With more than 30 years of experience in MWBE program administration in both the public and private sectors we have a collaborative wealth of experience that includes government contract procurement and compliance, supply chain management, workforce development and staff augmentation, and we've overseen risk management by way of auditing and mitigation. Our governing priority is to provide thoughtful leadership and guidance in every way and create sustainable opportunities to improve impoverished communities allowing them to thrive socially, environmentally and economically.</t>
  </si>
  <si>
    <t>76 Church Street</t>
  </si>
  <si>
    <t>11/2/2020</t>
  </si>
  <si>
    <t>12/4/2017</t>
  </si>
  <si>
    <t>1/3/2000</t>
  </si>
  <si>
    <t>1/1/2022</t>
  </si>
  <si>
    <t>7/1/2020</t>
  </si>
  <si>
    <t>6/30/2017</t>
  </si>
  <si>
    <t>Oceantowers</t>
  </si>
  <si>
    <t>$17,003.00</t>
  </si>
  <si>
    <t>3/27/2023</t>
  </si>
  <si>
    <t>Consult client, coordinate, and manage renovation of 2-bedroom apartment.</t>
  </si>
  <si>
    <t>Far Rockaway/Arverne Nonprofit Coalition (FRANC)</t>
  </si>
  <si>
    <t>7/26/2021</t>
  </si>
  <si>
    <t>NYCEM SCTR grant to FRANC to provide Emergency Response, Communication Plan deliverable</t>
  </si>
  <si>
    <t>2/4/2022</t>
  </si>
  <si>
    <t>Provide professional services reviewing, organizing, cataloguing and preserving acquired materials. - Consultations, training and required materials</t>
  </si>
  <si>
    <t xml:space="preserve">2/28/2029 </t>
  </si>
  <si>
    <t>$7,500.00</t>
  </si>
  <si>
    <t>1/1/2021</t>
  </si>
  <si>
    <t>1/1/2020</t>
  </si>
  <si>
    <t>1/1/2018</t>
  </si>
  <si>
    <t>5/1/2022</t>
  </si>
  <si>
    <t>NYPD</t>
  </si>
  <si>
    <t>$37,950.00</t>
  </si>
  <si>
    <t>5/24/2023</t>
  </si>
  <si>
    <t>* PO fulfillment of Hoppe's Pistol Cleaning Kits, for .38 / .357 / 9MM caliber pistols with aluminum rod, 3 thousand units</t>
  </si>
  <si>
    <t>The District Attorney’s Office of NY County</t>
  </si>
  <si>
    <t>$18,768.75</t>
  </si>
  <si>
    <t>11/14/2022</t>
  </si>
  <si>
    <t>* PO fulfillment of 8.5X11 copy paper, 30% recycled, 92 bright, 20 pound, 325 cases (each case = 10 reams)</t>
  </si>
  <si>
    <t>$17,900.00</t>
  </si>
  <si>
    <t>10/10/2023</t>
  </si>
  <si>
    <t>* PO fulfillment of Allen Company Shooting &amp; Safety Fit-Over Glasses, Clear &amp; Yellow, 2 thousand pair</t>
  </si>
  <si>
    <t>7/1/2022</t>
  </si>
  <si>
    <t>12/31/2012</t>
  </si>
  <si>
    <t>2/1/2021</t>
  </si>
  <si>
    <t>10%</t>
  </si>
  <si>
    <t>6/3/2019</t>
  </si>
  <si>
    <t>9/1/2020</t>
  </si>
  <si>
    <t xml:space="preserve">3/31/2029 </t>
  </si>
  <si>
    <t>2/15/2019</t>
  </si>
  <si>
    <t>Port Authority of New York and New Jersey</t>
  </si>
  <si>
    <t>12/1/2023</t>
  </si>
  <si>
    <t>7/2/2018</t>
  </si>
  <si>
    <t>10/18/2021</t>
  </si>
  <si>
    <t>9/1/2021</t>
  </si>
  <si>
    <t>10/26/2020</t>
  </si>
  <si>
    <t>10708</t>
  </si>
  <si>
    <t>Bronxville</t>
  </si>
  <si>
    <t>9/1/2023</t>
  </si>
  <si>
    <t>$34,000.00</t>
  </si>
  <si>
    <t>3/31/2020</t>
  </si>
  <si>
    <t>11221</t>
  </si>
  <si>
    <t>12207</t>
  </si>
  <si>
    <t>10469</t>
  </si>
  <si>
    <t>New York Power Authority</t>
  </si>
  <si>
    <t>Johnson</t>
  </si>
  <si>
    <t>9/30/2019</t>
  </si>
  <si>
    <t>Glenn</t>
  </si>
  <si>
    <t>$19,000.00</t>
  </si>
  <si>
    <t>Retail Trade</t>
  </si>
  <si>
    <t>4/1/2022</t>
  </si>
  <si>
    <t>711510</t>
  </si>
  <si>
    <t>Independent Artists, Writers, and Performers</t>
  </si>
  <si>
    <t>$700.00</t>
  </si>
  <si>
    <t>2/27/2023</t>
  </si>
  <si>
    <t>90 State Street</t>
  </si>
  <si>
    <t>ACC0000010302</t>
  </si>
  <si>
    <t>Aero-Ba-Soul, Inc.</t>
  </si>
  <si>
    <t>Kecia</t>
  </si>
  <si>
    <t>Palmer-Cousins</t>
  </si>
  <si>
    <t>914-737-7237</t>
  </si>
  <si>
    <t>Kecia@aerobasoul.com</t>
  </si>
  <si>
    <t>Aero-Ba-Soul, Inc is a NYC &amp; NYS Certified MWBE Business Management company specializing in Business Coaching, Manufacturing Engineering, MWBE Consulting, Project Management and Workforce Development Training.  We help Minority and Women-owned Business Enterprises navigate corporate and government procurement.  We partner with non-profits, government and educational institutions by providing advocacy outreach, career and professional leadership development training, technical assistance and wellness workshops.</t>
  </si>
  <si>
    <t>2044 Oakwood Drive</t>
  </si>
  <si>
    <t>Peekskill</t>
  </si>
  <si>
    <t>10566</t>
  </si>
  <si>
    <t>www.aerobasoul.com</t>
  </si>
  <si>
    <t>95230|95877|96156|91821|91841|91875|92416|92435|92440|92441</t>
  </si>
  <si>
    <t>The County of Westchester</t>
  </si>
  <si>
    <t>$155,100.00</t>
  </si>
  <si>
    <t>8/18/2021</t>
  </si>
  <si>
    <t>Provide group and individual Business Coaching, MWBE Technical and MWBE Certification Assistance to Westchester County based Minority and Women Owned Business Enterprises as they navigate government and corporate procurement and MWBE Certification.</t>
  </si>
  <si>
    <t>Jean Kristensen Associates</t>
  </si>
  <si>
    <t>3/9/2017</t>
  </si>
  <si>
    <t xml:space="preserve">Provide Technical Assistance including RFP Reviews, Capabilities Statement development to MWBE firms seeking government contracts.  Prepare &amp; facilitate MWBE marketing to the government workshops. </t>
  </si>
  <si>
    <t>New York Women's Chamber of Commerce</t>
  </si>
  <si>
    <t>1/1/2019</t>
  </si>
  <si>
    <t>Provide one-on-one Technical Assistance to MWBEs firms participating in the ContractHER Cohort seeking to acquire government contracts with New York City, New York State, federal government and corporations. Provide preparation and submission assistance of NYC MWBE Certification Application packages for the NYWCC MWBE Clients.</t>
  </si>
  <si>
    <t>ACC0000100356</t>
  </si>
  <si>
    <t>Ansari</t>
  </si>
  <si>
    <t>518-221-4210</t>
  </si>
  <si>
    <t>brian@bansarisolutions.com</t>
  </si>
  <si>
    <t>BrianAnsari and Associates Inc. (BAA) is a Management/Government Consulting firm specializing in supplier diversity strategy, procurement, and advisory services. Our services include: Public Procurement Strategy Design, Design-Build/P3 MWBE advisory service, MWBE Compliance Consulting, MWBE Technical Assistance, and Curriculum Development, MWBE Program Audit and Analysis, MWBE Quality Assurance consulting, MWBE Information Technology Systems Advisory, Capital Access and Financial Assistance Advisory, Independent Verification and Validation Advisory, Business Education &amp; Training Design/Delivery, Business Process Management</t>
  </si>
  <si>
    <t>89 Market Street</t>
  </si>
  <si>
    <t>333 Hudson St</t>
  </si>
  <si>
    <t>Suite # 13612</t>
  </si>
  <si>
    <t>www.bansarisolutions.com</t>
  </si>
  <si>
    <t>9/4/2018 12:00:00 AM</t>
  </si>
  <si>
    <t>95816|95826|90933|91802|91821|91838|91856|91871|91875|92416</t>
  </si>
  <si>
    <t>NYC MOCS</t>
  </si>
  <si>
    <t>11/1/2021</t>
  </si>
  <si>
    <t>Data/Trend Analysis, Project Management, Operations, and Training</t>
  </si>
  <si>
    <t>New York City SBS</t>
  </si>
  <si>
    <t>$249,860.00</t>
  </si>
  <si>
    <t>4/6/2020</t>
  </si>
  <si>
    <t>Evaluated and assessed management processes, systems, structure, workflows, business processes, MWBE infrastructure (personnel and systems); provided recommendations.</t>
  </si>
  <si>
    <t>Mayors Office of Philadelphia</t>
  </si>
  <si>
    <t>10/5/2019</t>
  </si>
  <si>
    <t>Provided expertise in supporting the City’s efforts to embed a racial equity lens in key entrepreneurship strategies; built capacity of staff to apply a racial equity lens to other strategies in the Inclusive Growth Plan; and help facilitate community engagement in roll-out of the Plan’s strategies.</t>
  </si>
  <si>
    <t>12/2/2019</t>
  </si>
  <si>
    <t>Catherine</t>
  </si>
  <si>
    <t>12/15/2018</t>
  </si>
  <si>
    <t>ACC0000012367</t>
  </si>
  <si>
    <t>Excelsior Business Development Associates, LLC</t>
  </si>
  <si>
    <t>Hernandez</t>
  </si>
  <si>
    <t>212-994-4898</t>
  </si>
  <si>
    <t>EHernandez@excelbda.com</t>
  </si>
  <si>
    <t>Excelsior Business Development Associates, LLC was established in 2017 to revolutionize compliance and business development. Our motto, "Because true value relies on responsiveness and responsibility," is a testament to our unwavering commitment to delivering value to both the customer and seller. We are confident that by connecting the Government and Business communities, we can achieve our goal of increasing participation by small, disadvantaged business enterprises in state and local procurement. Our company possesses the necessary expertise, skills, and understanding to achieve the desired result on both ends of the spectrum between Government and Business, and we won't settle for anything less.</t>
  </si>
  <si>
    <t>340 South 3rd Street</t>
  </si>
  <si>
    <t>538 Newark Pompton Turnpike</t>
  </si>
  <si>
    <t>Suite 631</t>
  </si>
  <si>
    <t>Pompton Plains</t>
  </si>
  <si>
    <t>07444</t>
  </si>
  <si>
    <t>www.excelbda.com</t>
  </si>
  <si>
    <t>1/5/2017 12:00:00 AM</t>
  </si>
  <si>
    <t>91821|91838|91856</t>
  </si>
  <si>
    <t>State of New Jersey Transportation</t>
  </si>
  <si>
    <t>On going project: Compliance - pre-screening, desk audits, eligibility checks, location/business interviews and recommendations.</t>
  </si>
  <si>
    <t>Transportation 2</t>
  </si>
  <si>
    <t>Compliance review of certifications on all three levels.</t>
  </si>
  <si>
    <t>QEDC</t>
  </si>
  <si>
    <t>6/22/2018</t>
  </si>
  <si>
    <t>Provide instructions to home improvements contractos.</t>
  </si>
  <si>
    <t>8/1/2019</t>
  </si>
  <si>
    <t>8/7/2017 12:00:00 AM</t>
  </si>
  <si>
    <t>11385</t>
  </si>
  <si>
    <t>$25,000,000.00</t>
  </si>
  <si>
    <t>3/1/2023</t>
  </si>
  <si>
    <t>Jean</t>
  </si>
  <si>
    <t>ACC0000004758</t>
  </si>
  <si>
    <t>K. Karp Consulting Co., Inc.</t>
  </si>
  <si>
    <t>Karen Karp &amp; Partners</t>
  </si>
  <si>
    <t>Asia</t>
  </si>
  <si>
    <t>Pasko</t>
  </si>
  <si>
    <t>212-260-1070</t>
  </si>
  <si>
    <t>karen@kkandp.com</t>
  </si>
  <si>
    <t>K. Karp Consulting is a consulting company that offers the following services: food system planning, research and analysis, strategic planning, initiative design and implementation, supply chain strategies, strategic and sustainable sourcing, local food procurement, retooling retail and manufacturing, business and program development, concept development, market assessment and feasibility studies, strategic planning, stakeholder engagement, partner identification, network development and facilitation, recruiting and performance management, organizational assessments, full service recruitment, performance management and development services, education and events, convening design and execution and experiential learning and curriculum development.</t>
  </si>
  <si>
    <t>1400 Lighthouse Road</t>
  </si>
  <si>
    <t>Southold</t>
  </si>
  <si>
    <t>11971</t>
  </si>
  <si>
    <t>PO Box 515</t>
  </si>
  <si>
    <t>http://www.kkandp.com</t>
  </si>
  <si>
    <t>5/1/1990 12:00:00 AM</t>
  </si>
  <si>
    <t>91800|91806|91821</t>
  </si>
  <si>
    <t>West Side Campaign Against Hunger</t>
  </si>
  <si>
    <t>$85,735.00</t>
  </si>
  <si>
    <t>Provides group facilitation and management and advocacy support services.</t>
  </si>
  <si>
    <t>6/7/2021</t>
  </si>
  <si>
    <t>10/1/2017</t>
  </si>
  <si>
    <t>5/1/2023</t>
  </si>
  <si>
    <t>Vishal</t>
  </si>
  <si>
    <t>$30,000,000.00</t>
  </si>
  <si>
    <t>$135,000.00</t>
  </si>
  <si>
    <t>3/5/2020</t>
  </si>
  <si>
    <t>Kathryn</t>
  </si>
  <si>
    <t>4/1/2019</t>
  </si>
  <si>
    <t xml:space="preserve">City-wide e-Procurement Performance Optimization </t>
  </si>
  <si>
    <t xml:space="preserve">Procurement Software </t>
  </si>
  <si>
    <t xml:space="preserve">Procurement Development </t>
  </si>
  <si>
    <t>10/11/2024</t>
  </si>
  <si>
    <t>keyword</t>
  </si>
  <si>
    <t>Procurement,Software</t>
  </si>
  <si>
    <t>ACC0000011381</t>
  </si>
  <si>
    <t>CHAERCON SYSTEMS, INC.</t>
  </si>
  <si>
    <t>Sherry</t>
  </si>
  <si>
    <t>Cornachio</t>
  </si>
  <si>
    <t>917-306-8732</t>
  </si>
  <si>
    <t>sac@chaercon.com</t>
  </si>
  <si>
    <t>Chaercon Systems, Inc. is a professional business services and software development company specializing in the design, development and implementation of mission critical systems for government agencies and public authorities. Expertise in the areas of purchasing and procurement, geo-processing, property management, capital program, and financial management systems.</t>
  </si>
  <si>
    <t>28 Bronxville Glen Drive</t>
  </si>
  <si>
    <t>Unit 4-6</t>
  </si>
  <si>
    <t>http://www.chaercon.com</t>
  </si>
  <si>
    <t>8/4/1982 12:00:00 AM</t>
  </si>
  <si>
    <t>91800|92000|92004|92014</t>
  </si>
  <si>
    <t xml:space="preserve">NYC Dept. of Buildings </t>
  </si>
  <si>
    <t>$3,197,030.00</t>
  </si>
  <si>
    <t>Design and development to support inspection activities at the Dept. of Buildings</t>
  </si>
  <si>
    <t>NYC SCA</t>
  </si>
  <si>
    <t>$987,720.00</t>
  </si>
  <si>
    <t>10/3/2016</t>
  </si>
  <si>
    <t>Business Analysis to support the development of a capital project system to support the educational infrastructure for the NYC public school system.</t>
  </si>
  <si>
    <t>NYC Dept. of Housing Preservation and Development</t>
  </si>
  <si>
    <t>Analytical and implementation support for the inspection and multiple dwelling registration system at HPD</t>
  </si>
  <si>
    <t>ACC0000375025</t>
  </si>
  <si>
    <t>Collabera, LLC</t>
  </si>
  <si>
    <t>Parag</t>
  </si>
  <si>
    <t>Potdar</t>
  </si>
  <si>
    <t>973-889-5200</t>
  </si>
  <si>
    <t>keri.parsons@collabera.com</t>
  </si>
  <si>
    <t>Collabera is a global talent solutions provider with approximately $400 million in revenue and a presence that represents over 3,000 experts across our offices in North America and India. We support our customers with a strong client centric model and a sincere commitment to their success.
Not only are we committed to meeting and exceeding our customers’ needs, but we are committed to our employees’ satisfaction as well. We believe our employees are the cornerstone of our success and we make every effort to ensure their satisfaction throughout their tenure with Collabera. We offer an enriching experience that promotes career growth and lifelong learning for our employees. As a result, we have been recognized by Staffing Industry Analysts (SIA) as one of the “Best Staffing Firms to Work For” for ten years.
Global Talent Solutions
We provide global talent solution by supercharging teams with top IT and professional staff augmentation, direct placement, training and upskilling:
 Staff Augmentation: We source and place expert IT and professional talent across a variety of industries for our clients. Our customer-focused account management team is driven by three core principles – Quality, Responsiveness and Cost. 
 Direct Placement: Our expert recruiters find the best candidates in the marketplace, perform a thorough screening (interview, assess, qualify) and ensure they meet our client's needs.  We are an extension of your company and truly partner with you to find the best talent for your team.
 Talent Development and Transformation: Collabera transforms digital talent through training and upskilling in areas such as Artificial Intelligence, Internet of Things, Data Analytics, Cloud and Cybersecurity. 
• Training: We hire, train and deploy recent Science, Technology, Engineering and Mathematics (STEM) graduates, junior engineers, and military veterans.
• Upskilling: Our global online training and certification platform provides a vast catalogue certification program which is instructor led to upskill or reskill experienced talents. 
 Global Remote Talent Platform: Collabera’s Talent-as-a-Service platform providing high skilled, remote, vetted talent on demand in data, cloud, cybersecurity, software, and product engineering.
Talent Categories
Collabera knows how the inherent differences of each metro area, client and candidate market affect successful talent recruiting. Our recruiting plans are tailored for each client, location and skill set to generate the best candidates within guaranteed timeframes. Collabera helps meet our clients’ most critical and time-sensitive challenges for the following professional talent categories:
	Information Technology 
	Business Professional
	Finance and Accounting
	Creative and Marketing 
	Human Resources and Procurement
Why Collabera?
The benefits of selecting Collabera as your Global Talent Solutions partner include the following:
 Global Talent Solutions: Client-focused solutions model providing staff augmentation, direct placement, training, upskilling and global remote talent to meet your talent requirements.
 Diversity Supplier: As a certified MBE, we take diversity very seriously and we strive to help our clients achieve their diversity spend goals as well as we help to drive diversity hiring initiatives and strategies. We partner with our clients to deliver creative solutions with diversity at the forefront.
 Unique Value Proposition: A flexible engagement model approach that allows us to bring various components together comprising proven strategies, talent solutions and technology to customize a specific engagement model or standalone solution.
 Global Presence: Global operations from North America and India to support your everchanging global needs.
 Industry Experience: Extensive expertise in Banking, Financial Services and Insurance, Healthcare, Pharma and Life Sciences, High Tech, and much more.
Top Awards
Each accolade is a testament to our customer focus:  
 2022: Forbes 2022 America’s Best Professional Recruiting Firms Awards – 2022, 2019, 2018   
 2022:  Comparably Award Winner for “Best Places to Work 2022”
 2021: Comparably Award Winner for “Best Companies for Diversity 2021″ 
 2021: Top Workplaces for New Jersey by NJ.com – 2021, 2019</t>
  </si>
  <si>
    <t>110 Allen Road</t>
  </si>
  <si>
    <t>Basking Ridge</t>
  </si>
  <si>
    <t>07920</t>
  </si>
  <si>
    <t>www.collabera.com</t>
  </si>
  <si>
    <t>10/10/2022 12:00:00 AM</t>
  </si>
  <si>
    <t>96269</t>
  </si>
  <si>
    <t>ACC0000343145</t>
  </si>
  <si>
    <t>Dini Communications Group Corp</t>
  </si>
  <si>
    <t>Prashanth</t>
  </si>
  <si>
    <t>Wijedasa</t>
  </si>
  <si>
    <t>732-225-4514</t>
  </si>
  <si>
    <t>office@dinigroup.net</t>
  </si>
  <si>
    <t>Dini Communications Group Corp is a dynamic and innovative systems integration company that grows and deploys talented people to solve the technical and strategic challenges of our clients. 
DiNi is formed with the vision to provide quality and secure solutions usually achievable by large companies. Its aim is to become a single point of contact for its customers’ needs. With DiNi as your service partner, you can fully focus on your business while we focus on the ways to enhance the productivity for your business.
Businesses from small offices to large corporations have come to rely on DiNi as a single point-of-contact for all their IT needs. 
	Systems Integration
	Networking and IT Security
	Remote Management and Administration
	IT Outsourcing and Systems Support
	Hardware and Software Procurement
	Web designing and development
	Web hosting and email hosting
	Wireless Solutions
	Project Management 
	Bonded Warehousing Services 
Expert consulting and technical, best-of-breed products, flexible on-demand support, unparalleled performance</t>
  </si>
  <si>
    <t>340 Campus Drive</t>
  </si>
  <si>
    <t>Edison</t>
  </si>
  <si>
    <t>08837</t>
  </si>
  <si>
    <t>www.dinigroup.net</t>
  </si>
  <si>
    <t>6/14/2010 12:00:00 AM</t>
  </si>
  <si>
    <t>519290</t>
  </si>
  <si>
    <t>Web Search Portals, Libraries, Archives, and Other Information Services</t>
  </si>
  <si>
    <t>Web Search Portals and All Other Information Services</t>
  </si>
  <si>
    <t>91800|91827|91829|91835</t>
  </si>
  <si>
    <t>Dini Communications Inc.</t>
  </si>
  <si>
    <t>1/1/2014</t>
  </si>
  <si>
    <t>Ad hoc consulting services</t>
  </si>
  <si>
    <t>Vexcel Corporation</t>
  </si>
  <si>
    <t>2/1/2010</t>
  </si>
  <si>
    <t>Network and systems intergration services for NYC Law enforcement agency</t>
  </si>
  <si>
    <t>Presidio</t>
  </si>
  <si>
    <t>3/10/2015</t>
  </si>
  <si>
    <t>Hardware procurement and project management services</t>
  </si>
  <si>
    <t>ACC0000309279</t>
  </si>
  <si>
    <t>Eyes To See Incorporated</t>
  </si>
  <si>
    <t>RA Technology Services</t>
  </si>
  <si>
    <t>Roberto</t>
  </si>
  <si>
    <t>Appolon</t>
  </si>
  <si>
    <t>929-282-4655</t>
  </si>
  <si>
    <t>Roberto@ratechservices.com</t>
  </si>
  <si>
    <t>RA Technology is a certified Minority-Owned Business (MBE) headquartered in New York City and has been in operation since 2017. We offer and deliver Cloud and Managed Services to SMBs and Non-Profits. We provide customers with access to an extensive range of carrier and cloud services through a carefully selected portfolio of trusted Supplier Partners.  
Our services include:
Cloud Compute | Managed Services | Unified Communications as a Service| Networking | Managed Security | Hardware &amp; Software Procurement</t>
  </si>
  <si>
    <t>1193 East 40th St</t>
  </si>
  <si>
    <t>Apt 1F</t>
  </si>
  <si>
    <t>https://ratechservices.com</t>
  </si>
  <si>
    <t>20453|20454|20491|20600|20674|20687|20839|60000|83935|91575</t>
  </si>
  <si>
    <t>Elmendorf Reformed Church</t>
  </si>
  <si>
    <t>3/13/2019</t>
  </si>
  <si>
    <t>Audio/Visual setup to show worship service on two separate TVs in church bulding</t>
  </si>
  <si>
    <t>MWS Consulting, LLC</t>
  </si>
  <si>
    <t>7/25/2018</t>
  </si>
  <si>
    <t xml:space="preserve">Provided Business Class Internet Service. Installed and configured Router, Switch, Access Point, Printer and Network Attached Storage. Configured VPN tunnel for remote access. </t>
  </si>
  <si>
    <t>Constant Tax and Payroll Services, Inc.</t>
  </si>
  <si>
    <t>2/12/2020</t>
  </si>
  <si>
    <t xml:space="preserve">Deploy Windows Virtual Desktop hosted in Microsoft Azure for TaxWise software  and Office 365 used by employees. </t>
  </si>
  <si>
    <t>ACC0000013711</t>
  </si>
  <si>
    <t>Kemlot Global Associates, Inc</t>
  </si>
  <si>
    <t>Cal</t>
  </si>
  <si>
    <t>Nwabudu</t>
  </si>
  <si>
    <t>917-676-9582</t>
  </si>
  <si>
    <t>CalNwabudu@kemlot.com</t>
  </si>
  <si>
    <t>Kemlot Global Associates does general construction, Plaster &amp; Paint, Roofing, Electrical, Carpentry, Flooring, Tiling, Voice and Data Cabling, Plumbing, general contracting, computer hardware and software procurement and calibration and infrared thermography scanning. Procurement of Goods &amp; Services. Moving &amp; Transport.</t>
  </si>
  <si>
    <t>648 Dorothea Lane</t>
  </si>
  <si>
    <t>www.kemlot.com</t>
  </si>
  <si>
    <t>10/10/2002 12:00:00 AM</t>
  </si>
  <si>
    <t>238990</t>
  </si>
  <si>
    <t>Other Specialty Trade Contractors</t>
  </si>
  <si>
    <t>All Other Specialty Trade Contractors</t>
  </si>
  <si>
    <t>Building Construction (non-Residential), Site work, i.e. Parks</t>
  </si>
  <si>
    <t>91000|91082|91200</t>
  </si>
  <si>
    <t>Administration of Children Services</t>
  </si>
  <si>
    <t>Perform all electrical and low voltage services on on-call basis at all ACS Locations in all boroughs</t>
  </si>
  <si>
    <t>FIRE DEPARTMENT</t>
  </si>
  <si>
    <t>Purchase of hot water heater tanks for FDNY</t>
  </si>
  <si>
    <t>Procurement plumbing materials for FDNY</t>
  </si>
  <si>
    <t>2023 Bond Readiness Cohort 13 (2022-23) | 2023 Bond Readiness Cohort 13 (2022-23) | 2023 Bond Readiness Cohort 13 (2022-23)</t>
  </si>
  <si>
    <t>ACC0000332307</t>
  </si>
  <si>
    <t>PBS Engineering &amp; Associates PC</t>
  </si>
  <si>
    <t>Dario</t>
  </si>
  <si>
    <t>Saravia</t>
  </si>
  <si>
    <t>609-903-2840</t>
  </si>
  <si>
    <t>dario.saravia@pbsengineering.net</t>
  </si>
  <si>
    <t>PBS Engineering is a New York State Professional Engineering firm (MBE/DBE certified) which  specializes in the design, implementation management and commissioning of integrated security and communications systems projects some of which include: optical fiber facilities, optical transport systems, IP and analog CCTV systems, card access, perimeter detection systems, wireless systems  in support of various security system projects, DOT video surveillance projects, and Intelligent Transportation Systems (ITS) projects.  PBS continually strives to provide effective and innovative engineering solutions for our clients.  Our engineering solutions blend leading-edge technology and practical, hands on experience that consistently meets and often exceeds our client’s expectations.
Our principals and associates have extensive experience with the planning, design, implementation and construction management of Security Systems including Communication Networks and have collectively worked on over fifty (50) system-related projects throughout the USA. These projects include a number of state-wide and regional communications based system deployments.
The experience of the staff proposed to support this contract spans over twenty five years and has a broad range of experience covering all aspects of the project lifecycle.
Key skill-sets and technical experience include:
Security Systems – Radar detection, intruder alarms, CCTV surveillance, access control, video recording, perimeter intrusion, thermal cameras, integrated system control software 		Construction Management Services, Central and Field Construction Inspections, Quality Assurance-Quality Control, Testing, Integration and System Acceptance 
Optical systems – SONET/Gig-E, Fiber Optic Cabling		Preparation of technical specifications, tender documentation, and procurement processes
Wireless Systems Design – WiFi, Cellular, Mobile		Testing and commissioning services
ITS Systems – Messaging – VMS, PVMS, HAR, Travel Time, Toll collection		Manuals and documentation
ITS Systems – Detection – Video Vehicle detection, Radar Detection 	
Plans Specifications &amp; Estimates (PS&amp;E) development 
ITS Systems – CCTV, RWIS, 511, Fog Detection Systems  		System planning, design, technology evaluation, deployment</t>
  </si>
  <si>
    <t>2012 Hobart Avenue</t>
  </si>
  <si>
    <t>pbsengineering.net</t>
  </si>
  <si>
    <t>12/1/2009 12:00:00 AM</t>
  </si>
  <si>
    <t>90740|91845|92500|92533|92536</t>
  </si>
  <si>
    <t>TransCore</t>
  </si>
  <si>
    <t>$1,823,510.00</t>
  </si>
  <si>
    <t>11/26/2019</t>
  </si>
  <si>
    <t>Quality Assurance and Quality Control for a Desig-Build-Operate-Maintain project. Our scope of work includes Construction Inspection Services.</t>
  </si>
  <si>
    <t>E-J Electric</t>
  </si>
  <si>
    <t>$998,127.00</t>
  </si>
  <si>
    <t>9/19/2019</t>
  </si>
  <si>
    <t>Engineering, Procurement and Integration of Systems for the new Harrison Garage in Mineola Long Island. Systems included: CCTV Security Systems, Help System, Communication Network and Parking Payment System.</t>
  </si>
  <si>
    <t>Daidone Electric</t>
  </si>
  <si>
    <t>$207,828.00</t>
  </si>
  <si>
    <t>10/28/2019</t>
  </si>
  <si>
    <t>Engineering, Procurement, Integration and Testing for the CCTV Systems and Security System.</t>
  </si>
  <si>
    <t>ACC0000015778</t>
  </si>
  <si>
    <t>RUSD SOLUTIONS</t>
  </si>
  <si>
    <t>Raj</t>
  </si>
  <si>
    <t>Somas</t>
  </si>
  <si>
    <t>201-497-4474</t>
  </si>
  <si>
    <t>Info@rusdsolutions.com</t>
  </si>
  <si>
    <t>Company Overview - RUSD SOLUTIONS’ mission is to connect businesses &amp; gov. agencies with technology in meaningful ways that help them realize good return on their IT investments. We achieve that by leveraging our decades of experience in SAP/ERP consulting and strong partnership with top technology brands, backed by exemplary management. This bootstrapped company grew organically brick by brick over the past decade, pivoted once in 2018 and made it to the list of 2023 Inc 5000 fastest growing companies in the USA.
Services - RUSD positions itself as a one-stop-shop for all technology procurement. It resells Tech Hardware and Software Licenses to Businesses, Federal, State and Local government agencies and provides services related to the products sold. It also strives to provide impactful IT Consulting and deliver high quality IT Staffing, Cloud Services (IBM Cloud Pak, Azure, AWS), SAP implementation and Project/Process Management. 
We have disciplined focus on quality to achieve high standards of excellence and possess the ability to apply continuous improvement principles with attention to details and an eye for identifying opportunities &amp; solving problems. We also view the organization as a holistic network of interrelated effects, treating it as-a-whole, enabling to develop sound, non-silo solutions while balancing near-term thinking with strategic long-term vision to develop robust, time with-standing solutions that provide superior ROI on software applications and business solutions.
Partners with SAP, Microsoft, Dell EMC, Cisco, Lenovo, Arista, IBM, Secureworks, HPE, Citrix, Check Point, Acronis, SANS, Planview, Brother, Box, Zoom, Adobe, Veeam, Gigamon, Symantec, Broadcom, Ivanti, Fortinet, Progress, OpenText, MicroFocus, Cellebrite, Devolutions, Quantum, Trend Micro, Beyond Trust, Grayshift, Magnet Forensics, Momentive, esri, Planview, Imperva, Panasonic, Veritas, Barco, Digi, Cradlepoint, Jile, MasterCraft, Udemy, Altair, Forcepoint, Salesforce, Caliper, Axis, Secude, Rangeforce, Exit certified and many more</t>
  </si>
  <si>
    <t>626 Woodland Avenue</t>
  </si>
  <si>
    <t>Northvale</t>
  </si>
  <si>
    <t>07647</t>
  </si>
  <si>
    <t>PO BOX 404</t>
  </si>
  <si>
    <t>TAPPAN</t>
  </si>
  <si>
    <t>10983</t>
  </si>
  <si>
    <t>https://www.rusdsolutions.com</t>
  </si>
  <si>
    <t>3/30/2014 12:00:00 AM</t>
  </si>
  <si>
    <t>20300|20500|20400|20600|20700|20800|20900|91833|91835|92000</t>
  </si>
  <si>
    <t xml:space="preserve">NYC DoITT  </t>
  </si>
  <si>
    <t>% year contract to supply products (HW/SW) and services from/for the following brands - Panasonic, Veritas, Digi, Barco and Imperva</t>
  </si>
  <si>
    <t>MTA</t>
  </si>
  <si>
    <t>$13,685,500.00</t>
  </si>
  <si>
    <t>12/8/2022</t>
  </si>
  <si>
    <t>All-Agency Enterprise Agreement for Geographical Information System (GIS) software
licenses - 5 Years. $ provided is for 5-year contract.</t>
  </si>
  <si>
    <t>NYS ITS</t>
  </si>
  <si>
    <t>$872,963.00</t>
  </si>
  <si>
    <t>12/20/2022</t>
  </si>
  <si>
    <t>Deliver IBM CloudPak Automation/Integration licenses</t>
  </si>
  <si>
    <t>2018 NYC Goods &amp; Services Mentorship-Cohort 3 (Spring 2018)</t>
  </si>
  <si>
    <t>ACC0000016190</t>
  </si>
  <si>
    <t>Source of Future Technology, Inc</t>
  </si>
  <si>
    <t>Grubiak</t>
  </si>
  <si>
    <t>212-633-1515</t>
  </si>
  <si>
    <t>cgrubiak@softinc.com</t>
  </si>
  <si>
    <t>Company provides IT and Professional consulting on a time and materials or per project basis. Services include; project management, procurement, human resources business partner, custom software development, business analysis, networking and quality assurance.</t>
  </si>
  <si>
    <t>Suite 202</t>
  </si>
  <si>
    <t>www.softinc.com</t>
  </si>
  <si>
    <t>4/1/1981 12:00:00 AM</t>
  </si>
  <si>
    <t>91833|92040</t>
  </si>
  <si>
    <t>1/2/2017</t>
  </si>
  <si>
    <t>IT Staffing</t>
  </si>
  <si>
    <t>The Federal Reserve Bank of New York</t>
  </si>
  <si>
    <t>$4,100,000.00</t>
  </si>
  <si>
    <t>IT and professional services.</t>
  </si>
  <si>
    <t>PSEG NJ and LI</t>
  </si>
  <si>
    <t>$1,400,000.00</t>
  </si>
  <si>
    <t xml:space="preserve">IT Staff Supplementation </t>
  </si>
  <si>
    <t>ACC0000364743</t>
  </si>
  <si>
    <t>STEM Smart IT LLC</t>
  </si>
  <si>
    <t>Bakshi</t>
  </si>
  <si>
    <t>908-499-0966</t>
  </si>
  <si>
    <t>Vishal@STEMSmartIT.com</t>
  </si>
  <si>
    <t>STEM Smart IT provides IT/Cybersecurity, project management, and Quality/CSV services. The company specializes in cybersecurity, IT Infrastructure/Help Desk, resource staffing and fulfillment and software and hardware procurement.</t>
  </si>
  <si>
    <t>10 Green Street</t>
  </si>
  <si>
    <t>Woodbridge</t>
  </si>
  <si>
    <t>07095</t>
  </si>
  <si>
    <t>Unit # 438</t>
  </si>
  <si>
    <t>www.STEMSmartIT.com</t>
  </si>
  <si>
    <t>95874|95877|91800|91821|91838|91862|91875|91880|92037|92040</t>
  </si>
  <si>
    <t>ACC0000005785</t>
  </si>
  <si>
    <t>Technology Concepts Group International, LLC</t>
  </si>
  <si>
    <t>Avis</t>
  </si>
  <si>
    <t>Yates Rivers</t>
  </si>
  <si>
    <t>732-659-6035</t>
  </si>
  <si>
    <t>info@technologyconcepts.com</t>
  </si>
  <si>
    <t>TCGI provides integrated IT Procurement, Tail Spend Management, Software License Management, IT Asset Management, and Equipment Financing to large organizations.  We are also a hardware/software reseller, delivering solutions in the Data Center, Network, Cloud and Security areas.  Our solutions drive simplicity, cost savings, flexible payment terms, and large tier one diverse spend.</t>
  </si>
  <si>
    <t xml:space="preserve">8/31/2029 </t>
  </si>
  <si>
    <t>485C US Highway 1 South</t>
  </si>
  <si>
    <t>Iselin</t>
  </si>
  <si>
    <t>08830</t>
  </si>
  <si>
    <t>Suite 350</t>
  </si>
  <si>
    <t>http://www.technologyconcepts.com</t>
  </si>
  <si>
    <t>1/21/2008 12:00:00 AM</t>
  </si>
  <si>
    <t>541513</t>
  </si>
  <si>
    <t>Computer Facilities Management Services</t>
  </si>
  <si>
    <t>20482|20720|91827|91829</t>
  </si>
  <si>
    <t>Merck</t>
  </si>
  <si>
    <t>$20,000,000.00</t>
  </si>
  <si>
    <t xml:space="preserve">Managed technology procurement transactions between customer and suppliers
</t>
  </si>
  <si>
    <t>Independence Blue Cross Blue Shield</t>
  </si>
  <si>
    <t>1/27/2019</t>
  </si>
  <si>
    <t>Management technology procurement transactions</t>
  </si>
  <si>
    <t>Marriott International</t>
  </si>
  <si>
    <t>Managed multi-vendor printer refresh
Equipment Leasing
Monthly consolidated managed print invoice management</t>
  </si>
  <si>
    <t>ACC0000017293</t>
  </si>
  <si>
    <t>Wynndalco Enterprises, LLC</t>
  </si>
  <si>
    <t>Andalcio</t>
  </si>
  <si>
    <t>312-256-9090</t>
  </si>
  <si>
    <t>d.andalcio@wynndalco.com</t>
  </si>
  <si>
    <t xml:space="preserve">IT Services Include:
Technology Managed Services, Client/Deployment, warehousing/logistics, hardware/software procurement, installation and configuration, in and out of warranty repair and break/fix, helpdesk/call center services, asset tracking, management and inventory services, SMART board and A/V, Data warehousing/reporting, business intelligence, data management, process optimization/cost savings, Electronic tolling analytics, tollway operations, intelligent transportation services. Infrastructure, virtualization, servers and storage, networks (LAN/WAN), technology management, monitoring and control, security, CCTV Support, IoT Support,
</t>
  </si>
  <si>
    <t>515 Factory Rd</t>
  </si>
  <si>
    <t>Addison</t>
  </si>
  <si>
    <t>60101</t>
  </si>
  <si>
    <t>www.wynndalco.com</t>
  </si>
  <si>
    <t>2/26/2009 12:00:00 AM</t>
  </si>
  <si>
    <t>541614</t>
  </si>
  <si>
    <t>Process, Physical Distribution, and Logistics Consulting Services</t>
  </si>
  <si>
    <t>20700|20800|91829|91830|91835|92037|92045|92046|92047</t>
  </si>
  <si>
    <t>CDW-G</t>
  </si>
  <si>
    <t>$8,500,000.00</t>
  </si>
  <si>
    <t>3/15/2013</t>
  </si>
  <si>
    <t>IT Computer Hardware Deployment, Warehousing/Logistic, Software Installation, Project Management, Asset Tracking</t>
  </si>
  <si>
    <t>$7,400,000.00</t>
  </si>
  <si>
    <t>2/10/2018</t>
  </si>
  <si>
    <t>MBE Reseller for software and services</t>
  </si>
  <si>
    <t>Apple Computer Corporation</t>
  </si>
  <si>
    <t>$2,800,000.00</t>
  </si>
  <si>
    <t>12/14/2020</t>
  </si>
  <si>
    <t>Warehousing, imaging, asset tagging, delivery, installation of all apple equipment to Chicago Public Schools.</t>
  </si>
  <si>
    <t>Procurement,development</t>
  </si>
  <si>
    <t>ACC0000340817</t>
  </si>
  <si>
    <t>Gregorio Sustainability LLC</t>
  </si>
  <si>
    <t>Eugenia</t>
  </si>
  <si>
    <t>Gregorio</t>
  </si>
  <si>
    <t>301-467-8058</t>
  </si>
  <si>
    <t>eugenia@gregoriosustainability.com</t>
  </si>
  <si>
    <t>Gregorio Sustainability partners with private, public, non-profit, and government organizations to advance their environmental, social, and governance goals. We set strategy and implement programs that gain team buy-in for sustainability and corporate responsibility initiatives -- ensuring their full integration into your business operations and long-lasting results that enhance your reputation and bottom line.  With expertise in strategic planning and program development, project management, compliance and reporting, stakeholder engagement and industry partnerships, our services will enhance your organization’s sustainability efforts to meet your goals.
Specific examples of projects that we’ve executed for clients include, but are not limited to, sustainability and ESG program development, on-site solar PV development, energy and water benchmarking for properties for voluntary and mandatory reporting, rebate applications, project budgets and payback analyses, project management for energy and water efficiency upgrades, energy procurement, carbon accounting, green loans, green leasing, CDP reporting, building certifications such as LEED, Fitwel, ENERGY STAR, and other healthy building strategies.  We also help companies demonstrate their leadership by developing content for annual reports and other external communications, writing case studies, and securing industry recognition opportunities.</t>
  </si>
  <si>
    <t>16 DYKEMAN ROAD</t>
  </si>
  <si>
    <t>DELMAR</t>
  </si>
  <si>
    <t>12054</t>
  </si>
  <si>
    <t>www.gregoriosustainability.com</t>
  </si>
  <si>
    <t>1/6/2020 12:00:00 AM</t>
  </si>
  <si>
    <t>91800</t>
  </si>
  <si>
    <t>Gotham Energy Consulting Services LLC</t>
  </si>
  <si>
    <t>$44,200.00</t>
  </si>
  <si>
    <t>2/2/2021</t>
  </si>
  <si>
    <t>Gregorio Sustainability provides professional consulting services to advise Gotham on sustainability and related corporate responsibility initiatives. Gotham requests various project assistance for their clients with the goal of advancing sustainability and related business objectives.  Consulting services may include, but are not limited to, activities related to sustainability strategy and program development, project management, compliance and reporting, stakeholder engagement, and industry partnerships.   This work started in January 2020 and continues to be on-going.</t>
  </si>
  <si>
    <t>Institute for Market Transformation</t>
  </si>
  <si>
    <t>$29,035.00</t>
  </si>
  <si>
    <t>Gregorio Sustainability is providing professional consulting services to IMT as a subcontractor, in coordination with Building Energy Exchange and NYC Climate Action Alliance, for a project that is advancing NYSERDA energy efficiency goals in New York City office buildings.  This work is on-going into 2022.</t>
  </si>
  <si>
    <t>Lerner Corporation</t>
  </si>
  <si>
    <t>Gregorio Sustainability is providing professional consulting services to advise Lerner with the development of on-site solar photovoltaic projects at their commercial office properties.  This work is on-going and will continue into 2022.</t>
  </si>
  <si>
    <t>ACC0000013920</t>
  </si>
  <si>
    <t>LDA Compliance Consulting, Inc.</t>
  </si>
  <si>
    <t>Lorraine</t>
  </si>
  <si>
    <t>D'Angelo</t>
  </si>
  <si>
    <t>914-548-6369</t>
  </si>
  <si>
    <t>Lorraine@LDAcomplianceconsulting.com</t>
  </si>
  <si>
    <t>LDA Compliance does consulting, compliance monitoring, corporate policy, risk management, ethics, integrity monitoring, training and education, DBE, WBE, MBE LBE SBE SBA veteran policy, plan and program development and implementation, document retention, privacy, procurement laws, conflicts of interests, legal consulting, outreach, diversity and inclusion compliance on alternative delivery construction projects (Design Build and P3), legal and regulatory compliance, assessment, project management, oversight contract administration, investigations such as construction and transportation industry fraud, due diligence, corporate investigations, compliance review, business development and technology assistance, education and training.</t>
  </si>
  <si>
    <t>5700 Arlington Avenue</t>
  </si>
  <si>
    <t>Unit 3U</t>
  </si>
  <si>
    <t>www.LDAcomplianceconsulting.com</t>
  </si>
  <si>
    <t>12/4/2014 12:00:00 AM</t>
  </si>
  <si>
    <t>90933</t>
  </si>
  <si>
    <t>Plaza Construction</t>
  </si>
  <si>
    <t>$113,288.00</t>
  </si>
  <si>
    <t>Prevailing wage compliance</t>
  </si>
  <si>
    <t>Salt City Constructors</t>
  </si>
  <si>
    <t>Outreach and MWBE Compliance, Civil Rights Compliance</t>
  </si>
  <si>
    <t>Empire State Partners</t>
  </si>
  <si>
    <t>Compliance Consulting</t>
  </si>
  <si>
    <t>ACC0000104268</t>
  </si>
  <si>
    <t>New Genesis Pathfinder, LLC</t>
  </si>
  <si>
    <t>Diana</t>
  </si>
  <si>
    <t>718-400-6171</t>
  </si>
  <si>
    <t>diana@newgenesispathfinder.com</t>
  </si>
  <si>
    <t>New Genesis Pathfinder is a business consulting firm that focuses on professional consulting services in diversity compliance monitoring, diversity certification processing, business development, strategic &amp; tactical planning, technical assistance &amp; capacity building, business coaching, curriculum development and training, economic &amp; workforce development and navigating government procurement processes.</t>
  </si>
  <si>
    <t>242-24 130th Rd</t>
  </si>
  <si>
    <t>www.newgenesispathfinder.com</t>
  </si>
  <si>
    <t>95800|95888|91800</t>
  </si>
  <si>
    <t>New York City Department for the Aging</t>
  </si>
  <si>
    <t>Coordinate and manage virtual/in person evaluation process for older adult centers RFP. Provide analysis of scores regarding the OAC/NORC RFP. Assist the selected contractor with reviewing and uploading the required documents in Passport. Process discretionary awards for non-profit organizations. Assist with initiating, drafting and reviewing small purchases contracts.</t>
  </si>
  <si>
    <t>Black Government Contracting Club</t>
  </si>
  <si>
    <t>Create interactive training approach using multimedia, case studies and industry best practices to:
Define implicit bias
Demonstrate how unconscious bias functions
Explain how implicit bias impacts the procurement process and decision making 
Help participants identify/utilize learned unconscious bias information in reviewing decisions and provide participants with tools to mitigate and dialogue about implicit bias.</t>
  </si>
  <si>
    <t>Complete Home Care Services</t>
  </si>
  <si>
    <t>Developed and implemented change management processes. Provided  strategic planning,coaching and business development services.</t>
  </si>
  <si>
    <t>ACC0000015732</t>
  </si>
  <si>
    <t>Roraima Consulting, Inc.</t>
  </si>
  <si>
    <t>Andrea</t>
  </si>
  <si>
    <t>Watson-James</t>
  </si>
  <si>
    <t>718-723-1295</t>
  </si>
  <si>
    <t>andreawj@roraimaconsulting.com</t>
  </si>
  <si>
    <t xml:space="preserve">Roraima Consulting Inc. is a engineering, procurement, construction management and consulting company. Our services include information technology, telecommunications, management and organizational development, design of renewable energy systems including solar and wind, engineering, construction and procurement. 
</t>
  </si>
  <si>
    <t>One Cross Island Plaza</t>
  </si>
  <si>
    <t>Suite 114</t>
  </si>
  <si>
    <t>www.roraimaconsulting.com</t>
  </si>
  <si>
    <t>1/1/2008 5:00:00 AM</t>
  </si>
  <si>
    <t>91800|95800|72500</t>
  </si>
  <si>
    <t>Port Authority of NY &amp; NJ</t>
  </si>
  <si>
    <t>$768,500.00</t>
  </si>
  <si>
    <t>1/7/2019</t>
  </si>
  <si>
    <t>Sold goods.</t>
  </si>
  <si>
    <t>Reviewed the specs provided, located a cost effective manufacturer and managed the timely delivery of the products to the client.</t>
  </si>
  <si>
    <t>New York City Transit</t>
  </si>
  <si>
    <t>$296,310.00</t>
  </si>
  <si>
    <t>8/7/2019</t>
  </si>
  <si>
    <t>Procured and delivered floor tiles.</t>
  </si>
  <si>
    <t>ACC0000342864</t>
  </si>
  <si>
    <t>Zayne Solutions Inc</t>
  </si>
  <si>
    <t>Shabbir</t>
  </si>
  <si>
    <t>Ezzi</t>
  </si>
  <si>
    <t>516-603-4725</t>
  </si>
  <si>
    <t>shabbir@zaynesolutions.com</t>
  </si>
  <si>
    <t>We’re a well-established firm with a reputation for innovative and lasting results. We have seasoned experts in the fields of Procurement and Business Development. What separates us from the rest is our experience and commitment to staying current with the ever-changing business landscape.</t>
  </si>
  <si>
    <t>131-01 JAMAICA AVE</t>
  </si>
  <si>
    <t>RICHMOND HILL</t>
  </si>
  <si>
    <t>8/29/2016 12:00:00 AM</t>
  </si>
  <si>
    <t>444110</t>
  </si>
  <si>
    <t>Building Material and Supplies Dealers</t>
  </si>
  <si>
    <t>Home Centers</t>
  </si>
  <si>
    <t>1084|1520|1990|2004|2006|2015|2016|2037|2067|2068|2084|2500|2510|2520|2530|2540|2550|2555|2560|2570|2580|2585|3100|3102|3103|3105|3107|3108|3109|3110|3111|3113|3114|3116|3117|3118|3120|3121|3123|3124|3126|3140|3141|3143|3144|3145|3149|3151|3155|3156|3157|3158|3159|3160|3161|3162|3163|3165|3167|3169|3170|3172|3173|3174|3175|3197|4500|4506|4514|4517|4518|4520|4521|4522|14000|14003|14005|14009|14012|43567|43572|43573|54566|54569|54575|54576|54577|54578|54581|54584|54593</t>
  </si>
  <si>
    <t>Mercury Paint</t>
  </si>
  <si>
    <t>$96,750.00</t>
  </si>
  <si>
    <t>5/15/2020</t>
  </si>
  <si>
    <t>PURCHASING GOODS</t>
  </si>
  <si>
    <t>EMPIRE HARDWARE &amp; SUPPLY INC</t>
  </si>
  <si>
    <t>$15,729.00</t>
  </si>
  <si>
    <t>10/25/2021</t>
  </si>
  <si>
    <t>Department of Parks &amp; Recreation</t>
  </si>
  <si>
    <t>$1,838.00</t>
  </si>
  <si>
    <t>7/8/2021</t>
  </si>
  <si>
    <t>purchasing goods</t>
  </si>
  <si>
    <t>ACC0000308553</t>
  </si>
  <si>
    <t>2M Corporation</t>
  </si>
  <si>
    <t>2M Construction Group</t>
  </si>
  <si>
    <t>Keller</t>
  </si>
  <si>
    <t>516-360-2225</t>
  </si>
  <si>
    <t>info@2mcorporation.com</t>
  </si>
  <si>
    <t>A professional organization devoted to providing strategic entitlement procurement, program/project management, finance sourcing when appropriate, and construction oversight services to the investment grade real estate development industry
Dedicated to servicing a wide spectrum of development modalities:
Healthcare
Hospitality
Residential
Commercial/Retail
Community and Regional Solutions</t>
  </si>
  <si>
    <t>1 Plaza Road</t>
  </si>
  <si>
    <t>Greenvale</t>
  </si>
  <si>
    <t>11548</t>
  </si>
  <si>
    <t>www.2mcorporation.com</t>
  </si>
  <si>
    <t>12/8/2006 12:00:00 AM</t>
  </si>
  <si>
    <t>90900|90903|90928</t>
  </si>
  <si>
    <t>Brookdale Hospital Medical Center</t>
  </si>
  <si>
    <t>$5,478,357.00</t>
  </si>
  <si>
    <t>29%</t>
  </si>
  <si>
    <t>7/17/2023</t>
  </si>
  <si>
    <t>Replace and Upgrade entire Honeywell FA System throughout the hospital campus to a state of the art Edwards system</t>
  </si>
  <si>
    <t>Interfaith Medical Center</t>
  </si>
  <si>
    <t>$814,210.00</t>
  </si>
  <si>
    <t>53%</t>
  </si>
  <si>
    <t>7/6/2022</t>
  </si>
  <si>
    <t>Provide all constgrujction trades to remove/replace current Nuclear Camera with the new state of the art version</t>
  </si>
  <si>
    <t>One Brooklyn Health Services</t>
  </si>
  <si>
    <t>$743,000.00</t>
  </si>
  <si>
    <t>Reconstruct new Gift Shop and all relative mechnical and back of the house upgrades to area at front lobby entrance to the main hospital tower</t>
  </si>
  <si>
    <t>ACC0000331227</t>
  </si>
  <si>
    <t>Austin Staffing Inc.</t>
  </si>
  <si>
    <t>JLD Advisory</t>
  </si>
  <si>
    <t>Ben-Ishay</t>
  </si>
  <si>
    <t>718-575-5414</t>
  </si>
  <si>
    <t>DANIELLE@JLDREALESTATE.COM</t>
  </si>
  <si>
    <t>JLD Advisory is a New York based commercial real estate brokerage, development and advisory firm which focuses on acquiring, developing, property management, sales and leasing of commercial properties. Over the past decade our firm has been expanding our project portfolio by acquiring and developing mid-scale properties. Our strategy is to identify distressed, undeveloped, underutilized sites and convert them to high performing, value add assets. As developers, we work hard to bring value to the neighborhoods we invest in and address the needs of each community. We aim to bring communities together, our tenants include but are not limited to supermarkets, fitness centers and medical facilities. Our projects additionally include senior affordable housing, hotels and shelters. At JLD Advisory, we pay close attention to market trends and real estate dynamics in order to produce high quality assets and superior yields. Our property management sector provides our clients with a vast opportunity of growth and increased property value while keeping costs low. Additionally, JLD works at consulting landlords, tenants and non for profits with their real estate and operation needs assisting with procurement and fulfillment of supplies, furniture and peripherals. Overall, JLD Advisory is a multi-faceted woman owned business that’s constantly striving for the highest standard in quality product &amp; service, always with integrity.</t>
  </si>
  <si>
    <t>70-19 Austin Street Floor 2</t>
  </si>
  <si>
    <t>10/7/2011 12:00:00 AM</t>
  </si>
  <si>
    <t>96240|96289|99884|20876|91886</t>
  </si>
  <si>
    <t>Hotel BPM</t>
  </si>
  <si>
    <t>$1,205,890.00</t>
  </si>
  <si>
    <t>12/14/2017</t>
  </si>
  <si>
    <t>Consult and obtain a group to increase revenue and decrease expenses</t>
  </si>
  <si>
    <t>Jai Shri Krishna Inc</t>
  </si>
  <si>
    <t>$42,625.00</t>
  </si>
  <si>
    <t>7/2/2020</t>
  </si>
  <si>
    <t>Consult and obtain a group to increase monthly hotel revenue and
decrease expenses</t>
  </si>
  <si>
    <t>SONIYA HOTELL LLC DBA TRAVELODGE</t>
  </si>
  <si>
    <t>$28,850.00</t>
  </si>
  <si>
    <t>6/27/2020</t>
  </si>
  <si>
    <t>Consult and obtain a group to increase monthly hotel revenue and decrease expenses.</t>
  </si>
  <si>
    <t>ACC0000000504</t>
  </si>
  <si>
    <t>Biform LLC</t>
  </si>
  <si>
    <t>Irma</t>
  </si>
  <si>
    <t>718-361-0738</t>
  </si>
  <si>
    <t>Biform@biformllc.com</t>
  </si>
  <si>
    <t>Consultants services for architects and designers. Our services include Surveying, Schematic, Design &amp; CD development, Interior Design, and BIM Asset Management. Additional services are Photography, Procurement with NYC agencies CAD/BIM Drafting, Millwork Design &amp; Detailing.</t>
  </si>
  <si>
    <t>72-38 113th Street</t>
  </si>
  <si>
    <t>Apt 5L</t>
  </si>
  <si>
    <t>www.biformarchitecture.com</t>
  </si>
  <si>
    <t>11/1/2011 12:00:00 AM</t>
  </si>
  <si>
    <t>96109|90652|90735|90738|90779|92416</t>
  </si>
  <si>
    <t>Justin Scott Interiors</t>
  </si>
  <si>
    <t>Architectural consulting services for High End residential projects</t>
  </si>
  <si>
    <t>SKANSKA</t>
  </si>
  <si>
    <t>4/25/2022</t>
  </si>
  <si>
    <t>As build condition</t>
  </si>
  <si>
    <t>Design Republic LLP</t>
  </si>
  <si>
    <t>CD set completion.</t>
  </si>
  <si>
    <t>ACC0000366244</t>
  </si>
  <si>
    <t>Buildstock Inc.</t>
  </si>
  <si>
    <t>Thiele</t>
  </si>
  <si>
    <t>737-990-2845</t>
  </si>
  <si>
    <t>kt@buildstock.com</t>
  </si>
  <si>
    <t>Buildstock is a construction materials marketplace that improves efficiency &amp; lowers cost; of procurement between buyers &amp; suppliers of base building materials, in the high rise construction development industry. We make procurement fast, easy, reliable, &amp; enable for credit lines to buyers &amp; create better &amp; faster payment terms for suppliers.</t>
  </si>
  <si>
    <t>376 Broadway</t>
  </si>
  <si>
    <t>12d</t>
  </si>
  <si>
    <t>www.buildstock.com</t>
  </si>
  <si>
    <t>2/15/2022 12:00:00 AM</t>
  </si>
  <si>
    <t>236117</t>
  </si>
  <si>
    <t>New Housing For-Sale Builders</t>
  </si>
  <si>
    <t>1062|13500|54000|57081</t>
  </si>
  <si>
    <t>Manhattan Building Company</t>
  </si>
  <si>
    <t>12/28/2022</t>
  </si>
  <si>
    <t>Bid carpentry</t>
  </si>
  <si>
    <t>ACC0000002415</t>
  </si>
  <si>
    <t>Dose Engineering PLLC</t>
  </si>
  <si>
    <t>Anostere</t>
  </si>
  <si>
    <t>646-715-2096</t>
  </si>
  <si>
    <t>ajean@dose-engineering.com</t>
  </si>
  <si>
    <t>DOSE ENGINEERING PLLC is a professional engineering firm founded in 2009 in the State of New York.  The company is certified by various government agencies as MBE and DBE firm. We provide engineering design, consultation and commissioning services focusing on mechanical, electrical, plumbing, fire protection and fire alarm (MEP) systems [NAICS: 541330 and SIC: 8711]. 
Over the years, the company has performed work for both the private sector and the public sector, as subconsultant and as prime. Our largest public sector project size to date is our involvement as electrical tier sub-consultant on the PANYNJ LaGuardia Airport Central Terminal Building Replacement with an estimated budget of $3.6 Billion. Our largest private sector project size to date is our involvement as prime MEP consultant (engineer of record) for the construction of a new 975,000SF warehouse/office building at the Matrix Development Group’s Global Logistic Park in Staten Island.
Our staff consists of professionals containing the right balance of education and experience to successfully perform on most projects. We take great pride in our work and understand how its implementation will impact the lives of people. Hence, design quality is of the utmost importance in our company’s culture. We have an in-house quality assurance process whereby our work product, before final delivery, are always checked to ensure compliance with all applicable codes and standards, and that the clients project requirements are met. We are extensively familiar with federal, state, and local codes, rules and regulations including the NYC Construction Codes and various departments such as the DOB, DEP, DOH, Parks and FDNY rules, in addition to multiple standards including but not limited to the CSI, NFPA, ASHRAE, IESNA and ANSI. 
A diverse group of clients, including but not limited architects, real estate developers, building owners and managers, construction managers and procurement officials at public and private agencies alike have enjoyed the benefits of peace of mind that our involvement on their projects brings. We add value to their projects by allocating them the full attention, honesty and dedication of our experienced professionals, saving them time, money and effort conceiving the ideal solutions or design on their behalf.
We are member of the American Council of Engineering Companies (ACEC) and are fully insured.</t>
  </si>
  <si>
    <t>15 W 38TH STREET</t>
  </si>
  <si>
    <t>4TH FL., SUITE 736</t>
  </si>
  <si>
    <t>http://www.dose-engineering.com</t>
  </si>
  <si>
    <t>3/17/2009 12:00:00 AM</t>
  </si>
  <si>
    <t>92500|92507|92508</t>
  </si>
  <si>
    <t>Matrix Development Group</t>
  </si>
  <si>
    <t>Provided mechanical, electrical and plumbing engineering design and construction administration services to erect an industrial building.</t>
  </si>
  <si>
    <t>NYC Administration for Children Services (ACS)</t>
  </si>
  <si>
    <t>$99,900.00</t>
  </si>
  <si>
    <t>3/14/2017</t>
  </si>
  <si>
    <t>Provided mechanical, electrical and plumbing (MEP) engineering and architectural design and construction administration services for an HVAC upgrade at the ACS Data Center.</t>
  </si>
  <si>
    <t>Brooklyn Public Library/WorkAC</t>
  </si>
  <si>
    <t>2/5/2019</t>
  </si>
  <si>
    <t>Provided mechanical, electrical, plumbing, fire protection and fire alarm (MEP) engineering design and construction administration services for construction of a new approximately 7000SF library in Dumbo area of Brooklyn, NY</t>
  </si>
  <si>
    <t>Edgard A.</t>
  </si>
  <si>
    <t>ACC0000327012</t>
  </si>
  <si>
    <t>LOOP Lighting, LLC</t>
  </si>
  <si>
    <t>Quinion</t>
  </si>
  <si>
    <t>212-603-9507</t>
  </si>
  <si>
    <t>info@looplighting.nyc</t>
  </si>
  <si>
    <t>LOOP Lighting was founded in 2015 with the intention to provide specialty architectural lighting design services through personalized attention. Partner involvement in each step of the project is a key differentiating factor which separates LOOP Lighting’s design services from other lighting firms.
Our portfolio includes:  hospitality, residential, landscape, office and
retail design sectors 
Lighting design services include:
• Interior and Exterior Architectural Lighting and Landscape lighting
• Designing to LEED certification requirements, high performance standards and energy efficiency and
sustainability
• Collaboration with an extensive network of lighting manufacturers, applications engineers and procurement
agencies for a cohesive and well-coordinated team approach
• Light level calculations and simulations
• Light fixture specifications
• REVIT and AutoCAD drawing deliverables
• Custom light fixture design and development</t>
  </si>
  <si>
    <t>12 W 21st Street</t>
  </si>
  <si>
    <t>2nd Floor</t>
  </si>
  <si>
    <t>www.looplighting.nyc</t>
  </si>
  <si>
    <t>1/12/2015 12:00:00 AM</t>
  </si>
  <si>
    <t>57800</t>
  </si>
  <si>
    <t>Gensler</t>
  </si>
  <si>
    <t>$163,000.00</t>
  </si>
  <si>
    <t>Full scope lighting design services from Schematic Design through Construction Administration</t>
  </si>
  <si>
    <t>Studios Architecture</t>
  </si>
  <si>
    <t>Full service lighting design from schematic design through construction administration</t>
  </si>
  <si>
    <t>Alexandria Real Estate Equities</t>
  </si>
  <si>
    <t>ACC0000293533</t>
  </si>
  <si>
    <t>Mira Zaki Photography LLC</t>
  </si>
  <si>
    <t>Mira</t>
  </si>
  <si>
    <t>Zaki</t>
  </si>
  <si>
    <t>917-208-9537</t>
  </si>
  <si>
    <t>mira@mirazaki.com</t>
  </si>
  <si>
    <t>Mira Zaki Photography LLC offers a variety of creative services and support to public and private companies including: construction progress photography, concessions and airport, photography, interior and exterior photography, architectural photography, videography, corporate headshots, equipment procurement, photography instruction and curriculum development, fine art photo printing, photography artwork for public spaces, creative consultation, strategy planning and execution for campaigns, emails, social media, etc.</t>
  </si>
  <si>
    <t>250 West 50th Street</t>
  </si>
  <si>
    <t>Apt 35H</t>
  </si>
  <si>
    <t>https://www.mirazaki.com</t>
  </si>
  <si>
    <t>9/1/2007 12:00:00 AM</t>
  </si>
  <si>
    <t>5000|5200|91500|91800</t>
  </si>
  <si>
    <t>Mina Penna</t>
  </si>
  <si>
    <t>9/17/2020</t>
  </si>
  <si>
    <t>Updated personal branding photographs for business across 2 cities.</t>
  </si>
  <si>
    <t>24 Seven Inc</t>
  </si>
  <si>
    <t>$2,200.00</t>
  </si>
  <si>
    <t>8/16/2022</t>
  </si>
  <si>
    <t>New Corporate Headshots for a major corporation, same day turnaround.</t>
  </si>
  <si>
    <t>Kelly Goodell</t>
  </si>
  <si>
    <t>$1,999.00</t>
  </si>
  <si>
    <t>1/20/2021</t>
  </si>
  <si>
    <t>Branding photographs for new business done virtually through Zoom.</t>
  </si>
  <si>
    <t>ACC0000014573</t>
  </si>
  <si>
    <t>Mondre Energy, Inc.</t>
  </si>
  <si>
    <t>Mondre</t>
  </si>
  <si>
    <t>215-988-0577</t>
  </si>
  <si>
    <t>jmondre@mondreenergy.com</t>
  </si>
  <si>
    <t>Mondre Energy provides energy consulting services, energy efficiency, engineering and sustainability, alternative and renewable energy development and procurement, energy commodity purchasing and risk management, information technology and strategic energy planning and management.  Mondre Energy provides energy conservation, cost-control and carbon reduction strategies for commercial, industrial, educational, government and non-profit organizations.</t>
  </si>
  <si>
    <t>763 W. Lancaster Avenue</t>
  </si>
  <si>
    <t>Bryn Mawr</t>
  </si>
  <si>
    <t>19010</t>
  </si>
  <si>
    <t>Suite 210</t>
  </si>
  <si>
    <t>www.mondreenergy.com</t>
  </si>
  <si>
    <t>1/20/1998 12:00:00 AM</t>
  </si>
  <si>
    <t>91844|91848|91899</t>
  </si>
  <si>
    <t>ACC0000326628</t>
  </si>
  <si>
    <t>MRV Group LLC</t>
  </si>
  <si>
    <t>Vickers II</t>
  </si>
  <si>
    <t>631-383-1218</t>
  </si>
  <si>
    <t>gvickers@mrvgroup.org</t>
  </si>
  <si>
    <t>Executive management consultant focused on strategy, development and equity. Services include: Urban Development &amp; Downtown Revitalization,Acquisition,Development Programming and Strategy, Community Place Making, Public Space Activation, Market Analysis, Operations and Business Planning, Diversity, Equity &amp; Inclusion Development, Structuring Public Private Partnerships, Fund Development Solutions, Government Advocacy, RFP and RFQ development for residential and commercial developers, Procurement, Executive Coaching and Leadership Development, Public Image and Rebranding. --- Youth Development/Family Services</t>
  </si>
  <si>
    <t>1750 West Main Street</t>
  </si>
  <si>
    <t>Riverhead</t>
  </si>
  <si>
    <t>11901</t>
  </si>
  <si>
    <t>Suite 700 Office 40</t>
  </si>
  <si>
    <t>www.mrvgroup.org</t>
  </si>
  <si>
    <t>11/30/2018 12:00:00 AM</t>
  </si>
  <si>
    <t>925120</t>
  </si>
  <si>
    <t>Administration of Housing Programs, Urban Planning, and Community Development</t>
  </si>
  <si>
    <t>Administration of Urban Planning and Community and Rural Development</t>
  </si>
  <si>
    <t>95816|91824|91839</t>
  </si>
  <si>
    <t>Spirit's Promise Equine Rescue</t>
  </si>
  <si>
    <t>3/5/2019</t>
  </si>
  <si>
    <t>Development of resources to build barn expansion and creation of the new business, staffing, programming and branding plan to ensure long term sustainability</t>
  </si>
  <si>
    <t>Long Island Sports Park</t>
  </si>
  <si>
    <t>Development and management of public affairs relating to the construction of a motorsports themed facility development to drive an increase in tourism, job grow and local community development. This includes advocacy, programming and permitting.</t>
  </si>
  <si>
    <t>North Shore Horse Rescue</t>
  </si>
  <si>
    <t>Development and management of operations/public affairs relating to unifying the equine industry on Long Island. Created advocacy campaign, program &amp; event development and fund development to support the health of the animals/facility overhead.</t>
  </si>
  <si>
    <t>ACC0000006475</t>
  </si>
  <si>
    <t>Mudu MultiMedia Enterprises, Inc.</t>
  </si>
  <si>
    <t>Walter</t>
  </si>
  <si>
    <t>Mudu</t>
  </si>
  <si>
    <t>718-574-1458</t>
  </si>
  <si>
    <t>wt@mudumultimedia.com</t>
  </si>
  <si>
    <t xml:space="preserve">MME works with government entities for procurement, servicing and the sourcing of goods including office supplies, automotive replacement parts, building and janitorial supplies.
We also have skilled consultants with an emphasis in program development and coordination, facilitation of youth and young adult workshops, on-site outreach services for corporate, community and collegiate clientele. </t>
  </si>
  <si>
    <t>1704 Stanhope Street</t>
  </si>
  <si>
    <t>1369 Broadway</t>
  </si>
  <si>
    <t>Suite 849</t>
  </si>
  <si>
    <t>https://www.mme.works</t>
  </si>
  <si>
    <t>3/30/2006 12:00:00 AM</t>
  </si>
  <si>
    <t>811310</t>
  </si>
  <si>
    <t>Commercial and Industrial Machinery and Equipment (except Automotive and Electronic) Repair and Maintenance</t>
  </si>
  <si>
    <t>3103|6000|11000|28000|42500|57864|60082|91000|91039|91082</t>
  </si>
  <si>
    <t>DSNY</t>
  </si>
  <si>
    <t>4/17/2019</t>
  </si>
  <si>
    <t>SWEEPERS, DRAG BROOMS, ETC, AND PARTS</t>
  </si>
  <si>
    <t>Industrial V-Belts for DSNY Fleet</t>
  </si>
  <si>
    <t>NYC CORRECTIONS</t>
  </si>
  <si>
    <t>RESALE</t>
  </si>
  <si>
    <t>ACC0000326063</t>
  </si>
  <si>
    <t>Palacios, Sanin, Walker and Associates, LLC</t>
  </si>
  <si>
    <t>PSW &amp; Associates</t>
  </si>
  <si>
    <t>Jairo</t>
  </si>
  <si>
    <t>Sanin</t>
  </si>
  <si>
    <t>516-761-0341</t>
  </si>
  <si>
    <t>jsanin@pswandassociates.com</t>
  </si>
  <si>
    <t>Management Consulting Expertise 
Program and Project Management 
Technical Review and Support 
Owner’s Representation 
Phased Construction Administration 
Planning and Community Development 
Case Management  
Policy Analysis and Support 
Human Resource Coordination 
Environmental Permitting 
Strategic Analysis and Guidance 
Grant Management Expertise
Grant Proposal Writing 
Elations Systems Support 
Procurement/Bid Management 
CFR: Title 24. Housing and Urban Development 
FEMA Public Assistance Program 
FEMA Hazard Mitigation Grant Program 
US HUD CDBG-DR 
US HUD CDBG 
Social Services Block Grant 
Grant Compliance and Evaluation</t>
  </si>
  <si>
    <t>160 Howells Raod</t>
  </si>
  <si>
    <t>Bay Shore</t>
  </si>
  <si>
    <t>11706</t>
  </si>
  <si>
    <t>www.pswandassociates.com</t>
  </si>
  <si>
    <t>12/1/2018 12:00:00 AM</t>
  </si>
  <si>
    <t>95800</t>
  </si>
  <si>
    <t>5D Architectural and Engineering</t>
  </si>
  <si>
    <t>$1,100.00</t>
  </si>
  <si>
    <t>Contract Compliance Support/ Project Management Support/ MWBE Outreach.
Tasks were performed in January and February of 2020. Payment was made on 2/27/2020</t>
  </si>
  <si>
    <t>ACC0000015501</t>
  </si>
  <si>
    <t>Raul V. Bravo + Associates, Inc.</t>
  </si>
  <si>
    <t>Noreen</t>
  </si>
  <si>
    <t>Rana</t>
  </si>
  <si>
    <t>703-326-9092</t>
  </si>
  <si>
    <t>dbe@rvba.com</t>
  </si>
  <si>
    <t>Raul V.  Bravo + Associates, Inc. (RVB+A), founded in 1979, is a Transportation Planning and Engineering Consulting firm dedicated to the planning, design, research and development of transit vehicles and transportation systems. Our dedicated professionals are committed to delivering superior services that efficiently satisfy the client requirements. Some of the services provided in the areas related to transit vehicles are: design and engineering, quality control and quality assurance, testing and commissioning, system integration, technical writing, specification development, industrial design, safety and security, communication systems. 
In the area of Transportation Systems, RVB+A’s experience covers a wide broad range of services, from feasibility studies to systems implementation, operations, maintenance and management. Our company has proven success providing services such as: research and development; system planning and feasibility studies; economic assessments and cost estimates; technology assessments; public/private partnerships; operations and maintenance planning and implementation; construction management of vehicles and rail infrastructure; contract administration and regulatory services; procurement processes and  negotiations; market demand forecasting for products and systems; life cycle cost analysis; government relations; institutional issues; project management; as well as performance simulations and assessments.
A representative listing of the many committees and groups on which RVB+A has served:
•	Federal Railroad Administration 
o	Railway Safety Advisory Committee (RSAC), Voting Member - Numerous areas, focus in rail safety 
o	Crash Energy Management (CEM) Working Group - Crafted language for future FRA regulations 
o	NPRM (Notice of Proposed Rulemaking) - Over 15 yrs, reviewed all transportation NPRM’s, submitting comments to FRA and APTA 
•	American Public Transportation Association 
o	Standards Development and Oversight Council 
o	PRESS Task Force - Developed technical language for structural requirements, emergency lighting, emergency exit path marking, and many other Standards 
o	Intercity Rail Committee 
o	Commuter Rail Committee 
o	Access Committee - ADA issues including level boarding 
o	Shared Tracks Committee 
o	Wheel/rail interaction study 
•	Transportation Research Board 
o	Standardization Committee 
o	Transit Cooperative Research Committee 
o	Intercity Rail Committee 
•	Commuter Rail Operators Group (CROG) 
•	Systems Procurement, Maintenance and Operations Committee
RVB+A has an impeccable record of performance, we are proud of the long list of successful projects and strong references which reflect the broad range and professionalism of our company.  
Our expertise is in vehicles, systems, infrastructure and facilities are as follows.  
Technical &amp; Economic Assessment
Public/Private Partnership Structures
Transit Oriented Real Estate Development
Safety and Security Assessments and Plans
ADA Assessments
Systems Planning
Feasibility Studies
Procurement Support
Market Research
Project Planning
Quality Planning
Production Planning
Scheduling
FTA Reporting and Audits
Specifications
Buy America Pre-Award and Post Delivery Audits
Conceptual Design &amp; Engineering
Industrial Design
Value Engineering
Cost Estimates
Life Cycle Costing
Systems Integration / Interfaces
Manufacturing and Inspection Procedures	Contract Administration
Regulatory Processes
Document Control
Configuration Management
Manufacturing Assessments and Processes
Mobilization
QA/QC Management/Inspection
Testing, Acceptance and Commissioning
Program Management
Program Management Oversight (PMO)
Performance Audits
As-Built Documentation
RAMS (Reliability, Availability, Maintainability and Safety)
Operations and Maintenance
Warranty Management
Staffing
Information Technology
Wayside Equipment/Facilities
Business Process Analysis
Work Shops
Emergency Preparedness Plans
Training</t>
  </si>
  <si>
    <t>1889 Preston White Drive</t>
  </si>
  <si>
    <t>Reston</t>
  </si>
  <si>
    <t>20191</t>
  </si>
  <si>
    <t>https://www.rvba.com</t>
  </si>
  <si>
    <t>12/26/1999 5:00:00 AM</t>
  </si>
  <si>
    <t>91800|95800|55800</t>
  </si>
  <si>
    <t>Network Rail Consulting</t>
  </si>
  <si>
    <t>$605,055.00</t>
  </si>
  <si>
    <t>9/24/2018</t>
  </si>
  <si>
    <t xml:space="preserve">General Engineering Consulting for Staff Augmentation Services
</t>
  </si>
  <si>
    <t>FS International</t>
  </si>
  <si>
    <t>9/17/2019</t>
  </si>
  <si>
    <t xml:space="preserve">Business Development and Representative Services in North America
</t>
  </si>
  <si>
    <t>U.S. Trade and Development Agency</t>
  </si>
  <si>
    <t>$574,979.00</t>
  </si>
  <si>
    <t xml:space="preserve">Technical Assistance for the Belgrano Railway Track Maintenance Project
</t>
  </si>
  <si>
    <t>Raul</t>
  </si>
  <si>
    <t>Bravo</t>
  </si>
  <si>
    <t>ACC0000100195</t>
  </si>
  <si>
    <t>Sigma Ridge LLC</t>
  </si>
  <si>
    <t>Alex</t>
  </si>
  <si>
    <t>Sierra</t>
  </si>
  <si>
    <t>929-320-0010</t>
  </si>
  <si>
    <t>alex@sigmaridge.com</t>
  </si>
  <si>
    <t>Our mission is to enjoy what we do while creating value for our partners through passion, honesty, and dedication. These are some of the services we focus on:
Cloud Migration
Backup &amp; Disaster Recovery
Managed IT Services
Security
Ransomware
24/7 Worldwide Support
Networking Monitoring
Voice &amp; Collaboration
IT-Business Consulting Assessments
Cisco, Dell, Meraki, HP, Lenovo products
Data &amp; Application Virtualization
CRM Design and Implementation
Go To Market Strategy 
Product Lifecycle
Sales Enablement
Sales Process &amp; Analytics
Digital Marketing
Paid Search (PPC) &amp; Social
SEO &amp; Website Analytics
Programmatic Display &amp; Video
Full Marketing Automation
Amazon Sales
Growth Strategy
Corporate Strategy
Go To Market Strategy 
Production Strategy 
Financial Strategy
Organizational Strategy
Business Intelligence
Strategic Planning
Leadership Assessment &amp; Alignment
Board Development
Exit Strategy
Business &amp; Process Assessment Design 
Organizational Design
Operational Efficiency
Process Modeling &amp; Statistical Analysis
Process Automation
Tactical Design &amp; Documentation
Supply Chain Simulation &amp; Optimization
G&amp;A Optimization
Cloud Migration Services
Enterprise Voice solutions starting at $15/month
Virtualization
Microsoft 365, Dynamics, Azure starting at $5/month
Data Migration &amp; Synchronization
SaaS, PaaS and IaaS
Hybrid Cloud Design &amp; Deployments
SharePoint design that helps your organization
Scalable, Taylor-made, mobile solutions
Cloud Security
Business Continuity &amp; Disaster Recovery Design
Data backup and recovery planning
Remote &amp; Cloud Backup Services
RPOs and RTOs that meet your business demands
Reduce CapEX by using DRaaS
Data and Application Virtualization
24/7 Support options
Business and IT Alignment Consulting
Networking Architecture Design
Networking monitoring
Staffing Augmentation
Procurement, Installation and IT Management
Licensing and Subscription management
Proactive, Preventive and Responsive IT services
Project Management and Deployment services
Security assessments
Email &amp; Spam protection
Antivirus Protection
Security Consulting and Training
Penetration testing
Security Management
Next generation Firewalls and Intrusion Prevention
VPN security
Ransomware</t>
  </si>
  <si>
    <t>1178 Broadway, 4th floor</t>
  </si>
  <si>
    <t>16 Navy Lane</t>
  </si>
  <si>
    <t>Essex</t>
  </si>
  <si>
    <t>06426</t>
  </si>
  <si>
    <t>www.sigmaridge.com</t>
  </si>
  <si>
    <t>12/6/2016 12:00:00 AM</t>
  </si>
  <si>
    <t>91872|92037|92066</t>
  </si>
  <si>
    <t>AJC</t>
  </si>
  <si>
    <t>We provide NOC support for AJC for their VOIP/Network systems. We make sure their network and switches provide the best QOS for voice and support any issues related to the Cisco Webex solution</t>
  </si>
  <si>
    <t>Wpromote</t>
  </si>
  <si>
    <t>$37,087.00</t>
  </si>
  <si>
    <t>helped with design and architecture of a new office for Wpromote</t>
  </si>
  <si>
    <t>New York City Health Department</t>
  </si>
  <si>
    <t>2/5/2018</t>
  </si>
  <si>
    <t>Built a website and Disaster recovery (DR) infrastructure for a website with sensitive information for the health department. Soc 2 Certification in security, Design and web development.</t>
  </si>
  <si>
    <t>ACC0000346926</t>
  </si>
  <si>
    <t>Techne Architectural Design D.P.C.</t>
  </si>
  <si>
    <t>Sameer</t>
  </si>
  <si>
    <t>Kumar</t>
  </si>
  <si>
    <t>917-669-7366</t>
  </si>
  <si>
    <t>kumar@techne.pro</t>
  </si>
  <si>
    <t>Techne Architectural Design DPC is a architectural enclsoures and facade design practice. We provide expert consultancy services to owners and architects for new construction as well as renovations of existing buidings. We specialize in high-performance, fully bespoke facade systems, as well as conventional building enclosures. We provide the following services:
- Design of building enclosure systems during design phases including detail drafting
- Thermal performance of building enclosures
- Structural performance of building enclosures
- Procurement and bidding support services
- Development of technical specifications including testing requirements
- Shop drawings review and QAQC procedures review
- Visual Mockups and performance mockups review and observation
- Site installations inspections including NYC Special Inspections
- Factory inspections to review implementation of QAQC procedures
- Consultation on global supply chains and identification of potential system and product suppliers</t>
  </si>
  <si>
    <t>15 W 84th Street</t>
  </si>
  <si>
    <t>Apt 9H</t>
  </si>
  <si>
    <t>www.techne.pro</t>
  </si>
  <si>
    <t>1/17/2022 12:00:00 AM</t>
  </si>
  <si>
    <t>541310</t>
  </si>
  <si>
    <t>Architectural Services</t>
  </si>
  <si>
    <t>90607|90610|90625|90627|90628|90629|90661|90735|90738|90775</t>
  </si>
  <si>
    <t>SHoP Architects</t>
  </si>
  <si>
    <t>4/30/2022</t>
  </si>
  <si>
    <t>Design Consultancy for various ongoing new construction projects in New York City, Washington DC, Detroit MI, as well as work for US Dept of State (OBO).</t>
  </si>
  <si>
    <t>ACC0000331701</t>
  </si>
  <si>
    <t>Tenaj Real Estate and Development Advisors, Inc</t>
  </si>
  <si>
    <t>John</t>
  </si>
  <si>
    <t>646-954-7748</t>
  </si>
  <si>
    <t>Tredainc@gmail.com</t>
  </si>
  <si>
    <t>Tenaj Real Estate and Development Advisors, Inc. is a unique consulting firm catering to nonprofits, housing developers, and landlords who engage in public and funding and temporary/transitional and permanent housing with and without supportive services. Services include consultation on real estate acquisition, development, financing, and operations. Tenaj Real Estate and Development Advisors also assist with procurement and fulfillment of equipment, supplies, and peripherals for operations of facilities.</t>
  </si>
  <si>
    <t>1525 Waring Avenue</t>
  </si>
  <si>
    <t>https://www.tredainc.com/</t>
  </si>
  <si>
    <t>12/9/2019 12:00:00 AM</t>
  </si>
  <si>
    <t>95882|97100</t>
  </si>
  <si>
    <t>Consult on business services managing hotel owner clients and assist
with procurement of Hotel contracts with the public entities.</t>
  </si>
  <si>
    <t>Bruce Berstien</t>
  </si>
  <si>
    <t>Engage and connect non profit and other clintelle for the purchase
of PPE.</t>
  </si>
  <si>
    <t>Sandhu Group</t>
  </si>
  <si>
    <t>FURMAN AVE/ 233 RD ST/ TUCKERTON</t>
  </si>
  <si>
    <t>ACC0000104418</t>
  </si>
  <si>
    <t>The Source Consulting Group, LLC</t>
  </si>
  <si>
    <t>Tunisha</t>
  </si>
  <si>
    <t>Walker-Miller</t>
  </si>
  <si>
    <t>516-661-1429</t>
  </si>
  <si>
    <t>tunisha@tscgny.com</t>
  </si>
  <si>
    <t>The Source Consulting Group, LLC is a boutique consulting firm that helps companies understand the key aspects of their business that will lead them to success. Through our innovative “Key to Success Analysis”, we provide businesses with help in the following areas: business mentoring and coaching, government navigation throughout certification, procurement outreach, RFP application preparation, compliance, and networking to contract success. Other areas of services of the firm also include workshop presentations and panel discussions directed towards small business development, technology, climate action, social justice, cannabis, and political campaign consulting.</t>
  </si>
  <si>
    <t>116-05 196th Street</t>
  </si>
  <si>
    <t>Saint Albans</t>
  </si>
  <si>
    <t>www.thesourceconsultinggroup.com</t>
  </si>
  <si>
    <t>7/23/2019 12:00:00 AM</t>
  </si>
  <si>
    <t>Mack Electric Inc</t>
  </si>
  <si>
    <t>3/5/2021</t>
  </si>
  <si>
    <t>Provided technical assistants to help client with a NYC WBE appeal issue, apply for certifications as a WBE for SCA, New York State, MTA, and Port Authority</t>
  </si>
  <si>
    <t>G. Fontas Advisors, INC</t>
  </si>
  <si>
    <t>provided WBE advisory and consultant services.</t>
  </si>
  <si>
    <t>Federated National Land</t>
  </si>
  <si>
    <t>Provided technical assistance with certification appeal process</t>
  </si>
  <si>
    <t>ACC0000324005</t>
  </si>
  <si>
    <t>United Energy Advisors, LLC</t>
  </si>
  <si>
    <t>Parham</t>
  </si>
  <si>
    <t>917-734-2222</t>
  </si>
  <si>
    <t>kparham@unitedenergyadvisors.com</t>
  </si>
  <si>
    <t xml:space="preserve">United Energy Advisors does construction management, planning, coordinating, budgeting and supervising for energy efficiency construction projects from early development to completion. The company focuses on LED lighting, controls, HVAC optimization, mechanical, building energy management systems and energy supply procurement.  </t>
  </si>
  <si>
    <t>80 Orchard Street</t>
  </si>
  <si>
    <t>www.unitedenergyadvisors.com</t>
  </si>
  <si>
    <t>3/24/2017 12:00:00 AM</t>
  </si>
  <si>
    <t>95826|88500|91016|91221</t>
  </si>
  <si>
    <t>Kawi Energy Group</t>
  </si>
  <si>
    <t>$312,100.00</t>
  </si>
  <si>
    <t>2/7/2020</t>
  </si>
  <si>
    <t xml:space="preserve">Did work on the commercial tenant program project. </t>
  </si>
  <si>
    <t>$6,085.79</t>
  </si>
  <si>
    <t xml:space="preserve">Collected and input data. Did an initial SOW development. Completed the tool generation/development. </t>
  </si>
  <si>
    <t>$1,969.91</t>
  </si>
  <si>
    <t>ACC0000104398</t>
  </si>
  <si>
    <t>Western Power Project Advisors</t>
  </si>
  <si>
    <t>Soni</t>
  </si>
  <si>
    <t>562-964-1933</t>
  </si>
  <si>
    <t>psoni@westppa.com</t>
  </si>
  <si>
    <t xml:space="preserve">Western Power Project Advisors (“WestPPA”) is a management/strategy energy consulting firm focused exclusively on energy-related matters across the utility industry with a specialized focus on Utility companies. Mr. Soni, its principal member, has worked at every step in the utility value chain from development through to operation.    Experience includes engagements with electric utilities (both IOUs and Publicly-Owned Utilities), regulatory bodies, developers, financial firms, and numerous other organizations spanning across the energy industry.   
WestPPA has deep experience in virtually every segment of the energy market.  
•	Energy Efficiency Benchmarking; Energy Efficiency RFP development
•	Integrated Resource Planning
•	Strategic analysis 
•	Generation strategy and procurement
•	Regulatory advocacy and assistance  
•	Community Choice Aggregation strategies
•	Technology and future trend analysis
•	Distributed Generation analysis (e.g., Microgrids, Community solar)
•	Energy Storage assessments, development and strategy
•	Partnership and alliance development and implementation 
</t>
  </si>
  <si>
    <t>19220 Pires Avenue</t>
  </si>
  <si>
    <t>Cerritos</t>
  </si>
  <si>
    <t>90703</t>
  </si>
  <si>
    <t>8/1/2017 12:00:00 AM</t>
  </si>
  <si>
    <t>221122</t>
  </si>
  <si>
    <t>Utilities</t>
  </si>
  <si>
    <t>Electric Power Generation, Transmission and Distribution</t>
  </si>
  <si>
    <t>Electric Power Distribution</t>
  </si>
  <si>
    <t>29000|91800</t>
  </si>
  <si>
    <t>Long Island Power Authority</t>
  </si>
  <si>
    <t>$1,240,000.00</t>
  </si>
  <si>
    <t>Assist &amp;Support LIPA with Utility Consulting Services</t>
  </si>
  <si>
    <t>$87,000.00</t>
  </si>
  <si>
    <t>2/1/2018</t>
  </si>
  <si>
    <t>Management consulting services to support large-scale renewable RFP</t>
  </si>
  <si>
    <t>Assist &amp; Support Evolve Project Development</t>
  </si>
  <si>
    <t>ACC0000325352</t>
  </si>
  <si>
    <t>Wirelos Inc.</t>
  </si>
  <si>
    <t>Maldonado</t>
  </si>
  <si>
    <t>929-429-9900</t>
  </si>
  <si>
    <t>carlos@wirelos.com</t>
  </si>
  <si>
    <t>Wirelos promotes sustainable living through arts and development initiatives. Wirelos acts for social good by promoting sustainable and affordable housing, including access to affordable housing, the use of sustainable products, and the use of eco-friendly production methods in the hospitality industry. Wirelos also partners with corporations and events to share experience, technology, and financial support. Additionally, Wirelos supports the development of cultural events through public relations, promotion, and eco-focused procurement services.</t>
  </si>
  <si>
    <t>580 Broadway</t>
  </si>
  <si>
    <t>PO Box 20227</t>
  </si>
  <si>
    <t>2/14/2013 12:00:00 AM</t>
  </si>
  <si>
    <t>92641|91847|92642</t>
  </si>
  <si>
    <t>Walker Ridge LLC Construction</t>
  </si>
  <si>
    <t>11/15/2018</t>
  </si>
  <si>
    <t>Website and business development supporting opportunity and partnership cultivation</t>
  </si>
  <si>
    <t>6/18/2018</t>
  </si>
  <si>
    <t>Introduction of project to Walker Ridge; Spanish-English translation; Sustainable</t>
  </si>
  <si>
    <t>7/9/2018</t>
  </si>
  <si>
    <t>Fostering development opportunities between the City of Dunkirk and Walker Ridge</t>
  </si>
  <si>
    <t xml:space="preserve">BrianAnsari and Associates Inc. </t>
  </si>
  <si>
    <t>Procurement Software</t>
  </si>
  <si>
    <t>Procurement Development</t>
  </si>
  <si>
    <t>00225P0002</t>
  </si>
  <si>
    <t xml:space="preserve">The agency’s justification for the M/WBE goal is based on ensuring equitable opportunities for minority and women-owned businesses, reflecting a commitment to diversity and inclusion in procurement. </t>
  </si>
  <si>
    <t>A search in the Small Business Services (SBS) online Directory for MWBE's using  procurement software for the review, analysis and best practices of current processes found 12 MWBE's.  A further search by business description and experience found 7 MWBE's able to do the work.  Out of the 7 MWBE's, there was insufficient capacity in the underutilized categories, therefore an unspecified goal was established. Out of the 7 MWBE's, there was insufficient capacity to meet the needs and scope of the required services. Another search in the Small Business Services (SBS) online directory for MWBE's using procurement development for the review, analysis and best practices of current processes found 36 MWBE's.  A further search by business descroption and experience found 11 MWBE's able to do the work. Out of the 11 MWBE's, there was insufficient capacity in the underutilized categories, therefore an unspecificed goal was established. Out of the 11 MWBE's, there was insufficient capacity to meet the needs and scope of the required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</si>
</sst>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0.0%"/>
    <numFmt numFmtId="165" formatCode="&quot;$&quot;#,##0.00"/>
  </numFmts>
  <fonts count="3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font>
    <font>
      <b/>
      <sz val="11"/>
      <color indexed="10"/>
      <name val="Calibri"/>
      <family val="2"/>
    </font>
    <font>
      <b/>
      <sz val="18"/>
      <name val="Calibri"/>
      <family val="2"/>
      <scheme val="minor"/>
    </font>
    <font>
      <b/>
      <sz val="11"/>
      <name val="Calibri"/>
      <family val="2"/>
      <scheme val="minor"/>
    </font>
    <font>
      <i/>
      <sz val="11"/>
      <color theme="1"/>
      <name val="Calibri"/>
      <family val="2"/>
      <scheme val="minor"/>
    </font>
    <font>
      <b/>
      <sz val="11"/>
      <color rgb="FFFF0000"/>
      <name val="Calibri"/>
      <family val="2"/>
      <scheme val="minor"/>
    </font>
    <font>
      <b/>
      <sz val="18"/>
      <color theme="1"/>
      <name val="Calibri"/>
      <family val="2"/>
      <scheme val="minor"/>
    </font>
    <font>
      <b/>
      <sz val="11"/>
      <color theme="1"/>
      <name val="Calibri"/>
      <family val="2"/>
    </font>
    <font>
      <b/>
      <sz val="11"/>
      <name val="Calibri"/>
      <family val="2"/>
    </font>
    <font>
      <b/>
      <i/>
      <sz val="11"/>
      <color rgb="FFFF0000"/>
      <name val="Calibri"/>
      <family val="2"/>
      <scheme val="minor"/>
    </font>
    <font>
      <sz val="11"/>
      <name val="Calibri"/>
      <family val="2"/>
      <scheme val="minor"/>
    </font>
    <font>
      <b/>
      <sz val="11"/>
      <color rgb="FFFF0000"/>
      <name val="Calibri"/>
      <family val="2"/>
    </font>
    <font>
      <sz val="12"/>
      <color theme="1"/>
      <name val="Calibri"/>
      <family val="2"/>
      <scheme val="minor"/>
    </font>
    <font>
      <b/>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
      <patternFill patternType="solid">
        <fgColor rgb="FFFFFF66"/>
        <bgColor indexed="64"/>
      </patternFill>
    </fill>
    <fill>
      <patternFill patternType="solid">
        <fgColor theme="6" tint="0.7999816888943144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theme="1"/>
      </left>
      <right style="medium">
        <color theme="1"/>
      </right>
      <top style="medium">
        <color theme="1"/>
      </top>
      <bottom style="medium">
        <color theme="1"/>
      </bottom>
      <diagonal/>
    </border>
    <border>
      <left/>
      <right style="medium">
        <color theme="1"/>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1"/>
      </left>
      <right style="thin">
        <color theme="1"/>
      </right>
      <top/>
      <bottom style="thin">
        <color theme="1"/>
      </bottom>
      <diagonal/>
    </border>
    <border>
      <left style="thin">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indexed="64"/>
      </left>
      <right style="thin">
        <color indexed="64"/>
      </right>
      <top style="thin">
        <color theme="1"/>
      </top>
      <bottom style="medium">
        <color indexed="6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30" fillId="0" borderId="0"/>
  </cellStyleXfs>
  <cellXfs count="112">
    <xf numFmtId="0" fontId="0" fillId="0" borderId="0" xfId="0"/>
    <xf numFmtId="0" fontId="16" fillId="0" borderId="17" xfId="0" applyFont="1" applyBorder="1" applyAlignment="1">
      <alignment vertical="top" wrapText="1"/>
    </xf>
    <xf numFmtId="0" fontId="25" fillId="0" borderId="17" xfId="0" applyFont="1" applyBorder="1" applyAlignment="1">
      <alignment vertical="top" wrapText="1"/>
    </xf>
    <xf numFmtId="0" fontId="20" fillId="0" borderId="0" xfId="0" applyFont="1"/>
    <xf numFmtId="0" fontId="2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16" fillId="0" borderId="0" xfId="0" applyFont="1" applyAlignment="1">
      <alignment horizontal="right" vertical="center"/>
    </xf>
    <xf numFmtId="0" fontId="0" fillId="0" borderId="0" xfId="0" applyAlignment="1">
      <alignment horizontal="center" vertical="center"/>
    </xf>
    <xf numFmtId="44" fontId="0" fillId="0" borderId="11" xfId="0" applyNumberFormat="1" applyBorder="1" applyAlignment="1" applyProtection="1">
      <alignment vertical="center"/>
      <protection hidden="1"/>
    </xf>
    <xf numFmtId="0" fontId="0" fillId="34" borderId="17" xfId="0" applyFill="1" applyBorder="1" applyAlignment="1" applyProtection="1">
      <alignment vertical="center"/>
      <protection locked="0"/>
    </xf>
    <xf numFmtId="44" fontId="1" fillId="34" borderId="17" xfId="1" applyFont="1" applyFill="1" applyBorder="1" applyAlignment="1" applyProtection="1">
      <alignment vertical="center"/>
      <protection locked="0"/>
    </xf>
    <xf numFmtId="0" fontId="0" fillId="34" borderId="17" xfId="0" applyFill="1" applyBorder="1" applyAlignment="1" applyProtection="1">
      <alignment horizontal="center" vertical="center"/>
      <protection locked="0"/>
    </xf>
    <xf numFmtId="0" fontId="22" fillId="0" borderId="13" xfId="0" applyFont="1" applyBorder="1" applyAlignment="1">
      <alignment vertical="center" wrapText="1"/>
    </xf>
    <xf numFmtId="44" fontId="22" fillId="0" borderId="13" xfId="1" applyFont="1" applyFill="1" applyBorder="1" applyAlignment="1" applyProtection="1">
      <alignment vertical="center"/>
    </xf>
    <xf numFmtId="0" fontId="22" fillId="0" borderId="13" xfId="0" applyFont="1" applyBorder="1" applyAlignment="1">
      <alignment horizontal="center" vertical="center"/>
    </xf>
    <xf numFmtId="44" fontId="22" fillId="0" borderId="13" xfId="1" applyFont="1" applyBorder="1" applyAlignment="1" applyProtection="1">
      <alignment vertical="center"/>
      <protection hidden="1"/>
    </xf>
    <xf numFmtId="0" fontId="0" fillId="34" borderId="10" xfId="0" applyFill="1" applyBorder="1" applyAlignment="1" applyProtection="1">
      <alignment vertical="center"/>
      <protection locked="0"/>
    </xf>
    <xf numFmtId="0" fontId="0" fillId="34" borderId="10" xfId="0" applyFill="1" applyBorder="1" applyAlignment="1" applyProtection="1">
      <alignment horizontal="center" vertical="center"/>
      <protection locked="0"/>
    </xf>
    <xf numFmtId="44" fontId="22" fillId="0" borderId="13" xfId="1" applyFont="1" applyFill="1" applyBorder="1" applyAlignment="1" applyProtection="1">
      <alignment horizontal="center" vertical="center"/>
    </xf>
    <xf numFmtId="0" fontId="25" fillId="0" borderId="10" xfId="0" applyFont="1" applyBorder="1" applyAlignment="1">
      <alignment vertical="top" wrapText="1"/>
    </xf>
    <xf numFmtId="44" fontId="1" fillId="0" borderId="0" xfId="1" applyFont="1" applyBorder="1" applyAlignment="1" applyProtection="1">
      <alignment vertical="center"/>
      <protection hidden="1"/>
    </xf>
    <xf numFmtId="0" fontId="0" fillId="34" borderId="10" xfId="0" applyFill="1" applyBorder="1" applyAlignment="1" applyProtection="1">
      <alignment horizontal="center" vertical="center" wrapText="1"/>
      <protection locked="0"/>
    </xf>
    <xf numFmtId="0" fontId="0" fillId="34" borderId="17" xfId="0" applyFill="1" applyBorder="1" applyAlignment="1" applyProtection="1">
      <alignment vertical="center" wrapText="1"/>
      <protection locked="0"/>
    </xf>
    <xf numFmtId="0" fontId="0" fillId="34" borderId="17" xfId="0" applyFill="1" applyBorder="1" applyAlignment="1" applyProtection="1">
      <alignment horizontal="center" vertical="center" wrapText="1"/>
      <protection locked="0"/>
    </xf>
    <xf numFmtId="0" fontId="0" fillId="34" borderId="12" xfId="0" applyFill="1" applyBorder="1" applyAlignment="1" applyProtection="1">
      <alignment horizontal="center" vertical="center" wrapText="1"/>
      <protection locked="0"/>
    </xf>
    <xf numFmtId="0" fontId="0" fillId="34" borderId="17" xfId="1" applyNumberFormat="1" applyFont="1" applyFill="1" applyBorder="1" applyAlignment="1" applyProtection="1">
      <alignment horizontal="center" vertical="center" wrapText="1"/>
      <protection locked="0"/>
    </xf>
    <xf numFmtId="0" fontId="16" fillId="0" borderId="0" xfId="0" applyFont="1" applyAlignment="1">
      <alignment vertical="center"/>
    </xf>
    <xf numFmtId="44" fontId="0" fillId="0" borderId="0" xfId="0" applyNumberFormat="1" applyAlignment="1">
      <alignment vertical="center"/>
    </xf>
    <xf numFmtId="0" fontId="0" fillId="0" borderId="10" xfId="0" applyBorder="1" applyAlignment="1">
      <alignment vertical="center"/>
    </xf>
    <xf numFmtId="44" fontId="1" fillId="0" borderId="0" xfId="1" applyFont="1" applyFill="1" applyBorder="1" applyAlignment="1" applyProtection="1">
      <alignment vertical="center"/>
    </xf>
    <xf numFmtId="0" fontId="23" fillId="0" borderId="0" xfId="0" applyFont="1" applyAlignment="1">
      <alignment vertical="center"/>
    </xf>
    <xf numFmtId="0" fontId="17" fillId="0" borderId="0" xfId="0" applyFont="1" applyAlignment="1">
      <alignment vertical="center"/>
    </xf>
    <xf numFmtId="0" fontId="28" fillId="0" borderId="0" xfId="0" applyFont="1" applyAlignment="1">
      <alignment vertical="center"/>
    </xf>
    <xf numFmtId="0" fontId="0" fillId="0" borderId="0" xfId="0" applyAlignment="1">
      <alignment horizontal="center"/>
    </xf>
    <xf numFmtId="0" fontId="17" fillId="0" borderId="0" xfId="0" applyFont="1"/>
    <xf numFmtId="0" fontId="0" fillId="0" borderId="0" xfId="0" applyAlignment="1" applyProtection="1">
      <alignment horizontal="center" vertical="center"/>
      <protection hidden="1"/>
    </xf>
    <xf numFmtId="0" fontId="17" fillId="0" borderId="0" xfId="0" applyFont="1" applyAlignment="1" applyProtection="1">
      <alignment vertical="center"/>
      <protection hidden="1"/>
    </xf>
    <xf numFmtId="44" fontId="0" fillId="0" borderId="0" xfId="0" applyNumberFormat="1" applyAlignment="1" applyProtection="1">
      <alignment horizontal="center" vertical="center"/>
      <protection hidden="1"/>
    </xf>
    <xf numFmtId="8" fontId="17" fillId="0" borderId="0" xfId="0" applyNumberFormat="1" applyFont="1" applyAlignment="1" applyProtection="1">
      <alignment vertical="center"/>
      <protection hidden="1"/>
    </xf>
    <xf numFmtId="0" fontId="17" fillId="0" borderId="0" xfId="0" applyFont="1" applyAlignment="1" applyProtection="1">
      <alignment horizontal="center" vertical="center"/>
      <protection hidden="1"/>
    </xf>
    <xf numFmtId="0" fontId="28" fillId="0" borderId="0" xfId="0" applyFont="1"/>
    <xf numFmtId="8" fontId="17" fillId="0" borderId="0" xfId="0" applyNumberFormat="1" applyFont="1" applyAlignment="1">
      <alignment vertical="center"/>
    </xf>
    <xf numFmtId="165" fontId="0" fillId="0" borderId="11" xfId="0" applyNumberFormat="1" applyBorder="1" applyAlignment="1">
      <alignment vertical="center"/>
    </xf>
    <xf numFmtId="0" fontId="27" fillId="0" borderId="0" xfId="0" applyFont="1" applyAlignment="1">
      <alignment vertical="center"/>
    </xf>
    <xf numFmtId="0" fontId="0" fillId="0" borderId="0" xfId="0" applyAlignment="1">
      <alignment horizontal="left" vertical="top" wrapText="1"/>
    </xf>
    <xf numFmtId="44" fontId="0" fillId="34" borderId="10" xfId="1" applyFont="1" applyFill="1" applyBorder="1" applyAlignment="1" applyProtection="1">
      <alignment vertical="center"/>
      <protection locked="0"/>
    </xf>
    <xf numFmtId="44" fontId="1" fillId="34" borderId="17" xfId="1" applyFont="1" applyFill="1" applyBorder="1" applyAlignment="1" applyProtection="1">
      <alignment vertical="center"/>
    </xf>
    <xf numFmtId="164" fontId="21" fillId="33" borderId="18" xfId="2" applyNumberFormat="1" applyFont="1" applyFill="1" applyBorder="1" applyAlignment="1" applyProtection="1">
      <alignment horizontal="right" vertical="center"/>
    </xf>
    <xf numFmtId="0" fontId="18" fillId="0" borderId="17" xfId="0" applyFont="1" applyBorder="1" applyAlignment="1">
      <alignment horizontal="left" vertical="top" wrapText="1"/>
    </xf>
    <xf numFmtId="0" fontId="22" fillId="34" borderId="30" xfId="1" applyNumberFormat="1" applyFont="1" applyFill="1" applyBorder="1" applyAlignment="1" applyProtection="1">
      <alignment horizontal="left" vertical="center"/>
    </xf>
    <xf numFmtId="0" fontId="22" fillId="34" borderId="17" xfId="1" applyNumberFormat="1" applyFont="1" applyFill="1" applyBorder="1" applyAlignment="1" applyProtection="1">
      <alignment horizontal="left" vertical="center"/>
    </xf>
    <xf numFmtId="0" fontId="22" fillId="0" borderId="31" xfId="0" applyFont="1" applyBorder="1" applyAlignment="1">
      <alignment horizontal="center" vertical="center"/>
    </xf>
    <xf numFmtId="0" fontId="0" fillId="34" borderId="30" xfId="0" applyFill="1" applyBorder="1" applyAlignment="1" applyProtection="1">
      <alignment vertical="center" wrapText="1"/>
      <protection locked="0"/>
    </xf>
    <xf numFmtId="0" fontId="0" fillId="34" borderId="30" xfId="1" applyNumberFormat="1" applyFont="1" applyFill="1" applyBorder="1" applyAlignment="1" applyProtection="1">
      <alignment horizontal="center" vertical="center" wrapText="1"/>
      <protection locked="0"/>
    </xf>
    <xf numFmtId="0" fontId="0" fillId="34" borderId="30" xfId="0" applyFill="1" applyBorder="1" applyAlignment="1" applyProtection="1">
      <alignment horizontal="center" vertical="center" wrapText="1"/>
      <protection locked="0"/>
    </xf>
    <xf numFmtId="44" fontId="1" fillId="34" borderId="30" xfId="1" applyFont="1" applyFill="1" applyBorder="1" applyAlignment="1" applyProtection="1">
      <alignment vertical="center"/>
    </xf>
    <xf numFmtId="0" fontId="22" fillId="0" borderId="32" xfId="0" applyFont="1" applyBorder="1" applyAlignment="1">
      <alignment vertical="center" wrapText="1"/>
    </xf>
    <xf numFmtId="44" fontId="22" fillId="0" borderId="32" xfId="1" applyFont="1" applyFill="1" applyBorder="1" applyAlignment="1" applyProtection="1">
      <alignment vertical="center"/>
    </xf>
    <xf numFmtId="0" fontId="22" fillId="0" borderId="32" xfId="1" applyNumberFormat="1" applyFont="1" applyFill="1" applyBorder="1" applyAlignment="1" applyProtection="1">
      <alignment horizontal="center" vertical="center"/>
    </xf>
    <xf numFmtId="0" fontId="22" fillId="0" borderId="32" xfId="0" applyFont="1" applyBorder="1" applyAlignment="1">
      <alignment horizontal="center" vertical="center"/>
    </xf>
    <xf numFmtId="0" fontId="22" fillId="0" borderId="33" xfId="0" applyFont="1" applyBorder="1" applyAlignment="1">
      <alignment horizontal="center" vertical="center"/>
    </xf>
    <xf numFmtId="44" fontId="22" fillId="0" borderId="32" xfId="1" applyFont="1" applyBorder="1" applyAlignment="1" applyProtection="1">
      <alignment vertical="center"/>
      <protection hidden="1"/>
    </xf>
    <xf numFmtId="164" fontId="21" fillId="35" borderId="10" xfId="2" applyNumberFormat="1" applyFont="1" applyFill="1" applyBorder="1" applyAlignment="1" applyProtection="1">
      <alignment horizontal="right" vertical="center"/>
    </xf>
    <xf numFmtId="0" fontId="1" fillId="34" borderId="17" xfId="1" applyNumberFormat="1" applyFont="1" applyFill="1" applyBorder="1" applyAlignment="1" applyProtection="1">
      <alignment vertical="center"/>
      <protection locked="0"/>
    </xf>
    <xf numFmtId="0" fontId="1" fillId="34" borderId="17" xfId="1" applyNumberFormat="1" applyFont="1" applyFill="1" applyBorder="1" applyAlignment="1" applyProtection="1">
      <alignment horizontal="center" vertical="center"/>
      <protection locked="0"/>
    </xf>
    <xf numFmtId="0" fontId="30" fillId="34" borderId="0" xfId="44" applyFill="1"/>
    <xf numFmtId="0" fontId="0" fillId="0" borderId="0" xfId="0" applyAlignment="1">
      <alignment wrapText="1"/>
    </xf>
    <xf numFmtId="0" fontId="0" fillId="0" borderId="0" xfId="0" applyFill="1"/>
    <xf numFmtId="0" fontId="0" fillId="0" borderId="0" xfId="0" applyFill="1" applyAlignment="1">
      <alignment wrapText="1"/>
    </xf>
    <xf numFmtId="0" fontId="31" fillId="0" borderId="0" xfId="0" applyFont="1" applyFill="1"/>
    <xf numFmtId="0" fontId="0" fillId="36" borderId="0" xfId="0" applyFill="1" applyAlignment="1">
      <alignment wrapText="1"/>
    </xf>
    <xf numFmtId="0" fontId="0" fillId="36" borderId="0" xfId="0" applyFill="1"/>
    <xf numFmtId="0" fontId="0" fillId="34" borderId="23" xfId="0" applyFill="1" applyBorder="1" applyAlignment="1" applyProtection="1">
      <alignment horizontal="left" vertical="top" wrapText="1"/>
      <protection locked="0"/>
    </xf>
    <xf numFmtId="0" fontId="0" fillId="34" borderId="24" xfId="0" applyFill="1" applyBorder="1" applyAlignment="1" applyProtection="1">
      <alignment horizontal="left" vertical="top" wrapText="1"/>
      <protection locked="0"/>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34" borderId="22" xfId="0" applyFill="1" applyBorder="1" applyAlignment="1" applyProtection="1">
      <alignment horizontal="left" vertical="top" wrapText="1"/>
      <protection locked="0"/>
    </xf>
    <xf numFmtId="0" fontId="0" fillId="34" borderId="0" xfId="0" applyFill="1" applyAlignment="1" applyProtection="1">
      <alignment horizontal="left" vertical="top" wrapText="1"/>
      <protection locked="0"/>
    </xf>
    <xf numFmtId="0" fontId="0" fillId="0" borderId="0" xfId="0" applyAlignment="1">
      <alignment horizontal="left" vertical="top" wrapText="1"/>
    </xf>
    <xf numFmtId="0" fontId="0" fillId="0" borderId="29" xfId="0" applyBorder="1" applyAlignment="1">
      <alignment horizontal="left" vertical="top" wrapText="1"/>
    </xf>
    <xf numFmtId="0" fontId="0" fillId="34" borderId="26" xfId="0" applyFill="1" applyBorder="1" applyAlignment="1" applyProtection="1">
      <alignment horizontal="left" vertical="top" wrapText="1"/>
      <protection locked="0"/>
    </xf>
    <xf numFmtId="0" fontId="0" fillId="34" borderId="27" xfId="0" applyFill="1" applyBorder="1" applyAlignment="1" applyProtection="1">
      <alignment horizontal="left" vertical="top" wrapText="1"/>
      <protection locked="0"/>
    </xf>
    <xf numFmtId="0" fontId="0" fillId="0" borderId="27" xfId="0" applyBorder="1" applyAlignment="1">
      <alignment horizontal="left" vertical="top" wrapText="1"/>
    </xf>
    <xf numFmtId="0" fontId="0" fillId="0" borderId="28" xfId="0" applyBorder="1" applyAlignment="1">
      <alignment horizontal="left" vertical="top" wrapText="1"/>
    </xf>
    <xf numFmtId="0" fontId="25" fillId="0" borderId="23" xfId="0" applyFont="1" applyBorder="1" applyAlignment="1">
      <alignment horizontal="center" vertical="center" wrapText="1"/>
    </xf>
    <xf numFmtId="0" fontId="25" fillId="0" borderId="24" xfId="0" applyFont="1" applyBorder="1" applyAlignment="1">
      <alignment horizontal="center" vertical="center" wrapText="1"/>
    </xf>
    <xf numFmtId="0" fontId="0" fillId="0" borderId="24" xfId="0" applyBorder="1" applyAlignment="1">
      <alignment vertical="center"/>
    </xf>
    <xf numFmtId="0" fontId="0" fillId="0" borderId="25" xfId="0" applyBorder="1" applyAlignment="1">
      <alignment vertical="center"/>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0" fillId="0" borderId="27" xfId="0" applyBorder="1" applyAlignment="1">
      <alignment vertical="center"/>
    </xf>
    <xf numFmtId="0" fontId="0" fillId="0" borderId="28" xfId="0" applyBorder="1" applyAlignment="1">
      <alignment vertical="center"/>
    </xf>
    <xf numFmtId="0" fontId="0" fillId="0" borderId="0" xfId="0" applyAlignment="1">
      <alignment horizontal="center" vertical="center"/>
    </xf>
    <xf numFmtId="0" fontId="0" fillId="34" borderId="10" xfId="0" applyFill="1" applyBorder="1" applyAlignment="1" applyProtection="1">
      <alignment horizontal="center" vertical="center" wrapText="1"/>
      <protection locked="0"/>
    </xf>
    <xf numFmtId="0" fontId="25" fillId="0" borderId="0" xfId="0" applyFont="1" applyAlignment="1">
      <alignment horizontal="left" vertical="center"/>
    </xf>
    <xf numFmtId="0" fontId="16" fillId="0" borderId="0" xfId="0" applyFont="1" applyAlignment="1">
      <alignment horizontal="left" vertical="center"/>
    </xf>
    <xf numFmtId="0" fontId="0" fillId="0" borderId="15" xfId="0" applyBorder="1" applyAlignment="1">
      <alignment vertical="center"/>
    </xf>
    <xf numFmtId="0" fontId="0" fillId="0" borderId="16" xfId="0" applyBorder="1" applyAlignment="1">
      <alignment vertical="center"/>
    </xf>
    <xf numFmtId="0" fontId="21" fillId="35" borderId="10" xfId="0" applyFont="1" applyFill="1" applyBorder="1" applyAlignment="1">
      <alignment horizontal="center" vertical="center" wrapText="1"/>
    </xf>
    <xf numFmtId="0" fontId="21" fillId="35" borderId="15" xfId="0" applyFont="1" applyFill="1" applyBorder="1" applyAlignment="1">
      <alignment horizontal="center" vertical="center" wrapText="1"/>
    </xf>
    <xf numFmtId="0" fontId="21" fillId="35" borderId="16" xfId="0" applyFont="1" applyFill="1" applyBorder="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21" fillId="33" borderId="14" xfId="0" applyFont="1" applyFill="1" applyBorder="1" applyAlignment="1">
      <alignment horizontal="left" vertical="center" wrapText="1"/>
    </xf>
    <xf numFmtId="0" fontId="21" fillId="33" borderId="19" xfId="0" applyFont="1" applyFill="1" applyBorder="1" applyAlignment="1">
      <alignment horizontal="left" vertical="center" wrapText="1"/>
    </xf>
    <xf numFmtId="0" fontId="24" fillId="0" borderId="0" xfId="0" applyFont="1" applyAlignment="1">
      <alignment horizontal="center" vertical="center"/>
    </xf>
    <xf numFmtId="0" fontId="0" fillId="0" borderId="26" xfId="0" applyBorder="1" applyAlignment="1">
      <alignment vertical="center"/>
    </xf>
    <xf numFmtId="0" fontId="0" fillId="34" borderId="25" xfId="0" applyFill="1" applyBorder="1" applyAlignment="1" applyProtection="1">
      <alignment horizontal="left" vertical="top" wrapText="1"/>
      <protection locked="0"/>
    </xf>
    <xf numFmtId="0" fontId="0" fillId="34" borderId="0" xfId="0" applyFill="1" applyBorder="1" applyAlignment="1" applyProtection="1">
      <alignment horizontal="left" vertical="top" wrapText="1"/>
      <protection locked="0"/>
    </xf>
    <xf numFmtId="0" fontId="0" fillId="34" borderId="29" xfId="0" applyFill="1" applyBorder="1" applyAlignment="1" applyProtection="1">
      <alignment horizontal="left" vertical="top" wrapText="1"/>
      <protection locked="0"/>
    </xf>
    <xf numFmtId="0" fontId="0" fillId="34" borderId="28" xfId="0" applyFill="1" applyBorder="1" applyAlignment="1" applyProtection="1">
      <alignment horizontal="left" vertical="top" wrapText="1"/>
      <protection locked="0"/>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4" xr:uid="{45416A5E-67CA-4FD7-857B-3E223CC3417D}"/>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15</xdr:col>
          <xdr:colOff>123825</xdr:colOff>
          <xdr:row>65</xdr:row>
          <xdr:rowOff>19050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view="pageBreakPreview" topLeftCell="A7" zoomScale="130" zoomScaleNormal="130" zoomScaleSheetLayoutView="130" workbookViewId="0">
      <selection activeCell="P59" sqref="P59"/>
    </sheetView>
  </sheetViews>
  <sheetFormatPr defaultRowHeight="15" x14ac:dyDescent="0.25"/>
  <sheetData/>
  <pageMargins left="0.5" right="0.5" top="0.5" bottom="0.5" header="0.3" footer="0.3"/>
  <pageSetup scale="65" orientation="portrait" r:id="rId1"/>
  <drawing r:id="rId2"/>
  <legacyDrawing r:id="rId3"/>
  <oleObjects>
    <mc:AlternateContent xmlns:mc="http://schemas.openxmlformats.org/markup-compatibility/2006">
      <mc:Choice Requires="x14">
        <oleObject progId="Document" shapeId="2057" r:id="rId4">
          <objectPr defaultSize="0" r:id="rId5">
            <anchor moveWithCells="1">
              <from>
                <xdr:col>0</xdr:col>
                <xdr:colOff>0</xdr:colOff>
                <xdr:row>0</xdr:row>
                <xdr:rowOff>0</xdr:rowOff>
              </from>
              <to>
                <xdr:col>15</xdr:col>
                <xdr:colOff>123825</xdr:colOff>
                <xdr:row>65</xdr:row>
                <xdr:rowOff>19050</xdr:rowOff>
              </to>
            </anchor>
          </objectPr>
        </oleObject>
      </mc:Choice>
      <mc:Fallback>
        <oleObject progId="Document" shapeId="205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80"/>
  <sheetViews>
    <sheetView tabSelected="1" topLeftCell="A6" zoomScaleNormal="100" zoomScaleSheetLayoutView="100" workbookViewId="0">
      <selection activeCell="A50" sqref="A50"/>
    </sheetView>
  </sheetViews>
  <sheetFormatPr defaultRowHeight="15" x14ac:dyDescent="0.25"/>
  <cols>
    <col min="1" max="1" width="37.140625" customWidth="1"/>
    <col min="2" max="3" width="16.7109375" customWidth="1"/>
    <col min="4" max="4" width="20.5703125" customWidth="1"/>
    <col min="5" max="5" width="30.140625" customWidth="1"/>
    <col min="6" max="6" width="22.85546875" customWidth="1"/>
    <col min="7" max="7" width="27.28515625" customWidth="1"/>
    <col min="8" max="8" width="30" style="34" customWidth="1"/>
    <col min="9" max="9" width="20.7109375" style="35" bestFit="1" customWidth="1"/>
    <col min="10" max="10" width="14.85546875" style="35" customWidth="1"/>
    <col min="11" max="11" width="9.140625" style="41" customWidth="1"/>
    <col min="12" max="16" width="9.140625" customWidth="1"/>
  </cols>
  <sheetData>
    <row r="1" spans="1:11" ht="23.25" x14ac:dyDescent="0.35">
      <c r="A1" s="3"/>
    </row>
    <row r="2" spans="1:11" s="5" customFormat="1" x14ac:dyDescent="0.25">
      <c r="A2" s="106" t="s">
        <v>17</v>
      </c>
      <c r="B2" s="106"/>
      <c r="C2" s="106"/>
      <c r="D2" s="106"/>
      <c r="E2" s="106"/>
      <c r="H2" s="8"/>
      <c r="I2" s="32"/>
      <c r="J2" s="32"/>
      <c r="K2" s="33"/>
    </row>
    <row r="3" spans="1:11" s="5" customFormat="1" x14ac:dyDescent="0.25">
      <c r="A3" s="106"/>
      <c r="B3" s="106"/>
      <c r="C3" s="106"/>
      <c r="D3" s="106"/>
      <c r="E3" s="106"/>
      <c r="G3" s="93"/>
      <c r="H3" s="93"/>
      <c r="I3" s="32"/>
      <c r="J3" s="32"/>
      <c r="K3" s="33"/>
    </row>
    <row r="4" spans="1:11" s="5" customFormat="1" ht="23.25" x14ac:dyDescent="0.25">
      <c r="A4" s="4"/>
      <c r="B4" s="4"/>
      <c r="C4" s="4"/>
      <c r="D4" s="4"/>
      <c r="E4" s="4"/>
      <c r="H4" s="36"/>
      <c r="I4" s="37"/>
      <c r="J4" s="32"/>
      <c r="K4" s="33"/>
    </row>
    <row r="5" spans="1:11" s="5" customFormat="1" ht="15" customHeight="1" x14ac:dyDescent="0.25">
      <c r="A5" s="6"/>
      <c r="B5" s="6"/>
      <c r="C5" s="6"/>
      <c r="D5" s="6"/>
      <c r="E5" s="7" t="s">
        <v>0</v>
      </c>
      <c r="F5" s="94" t="s">
        <v>486</v>
      </c>
      <c r="G5" s="94"/>
      <c r="H5" s="36"/>
      <c r="I5" s="37"/>
      <c r="J5" s="32"/>
      <c r="K5" s="33"/>
    </row>
    <row r="6" spans="1:11" s="5" customFormat="1" x14ac:dyDescent="0.25">
      <c r="A6" s="6"/>
      <c r="B6" s="6"/>
      <c r="C6" s="6"/>
      <c r="D6" s="6"/>
      <c r="E6" s="7" t="s">
        <v>46</v>
      </c>
      <c r="F6" s="94" t="s">
        <v>1199</v>
      </c>
      <c r="G6" s="94"/>
      <c r="H6" s="36"/>
      <c r="I6" s="37"/>
      <c r="J6" s="32"/>
      <c r="K6" s="33"/>
    </row>
    <row r="7" spans="1:11" s="5" customFormat="1" x14ac:dyDescent="0.25">
      <c r="A7" s="6"/>
      <c r="B7" s="6"/>
      <c r="C7" s="6"/>
      <c r="D7" s="6"/>
      <c r="E7" s="7"/>
      <c r="F7" s="8"/>
      <c r="G7" s="8"/>
      <c r="H7" s="36"/>
      <c r="I7" s="37"/>
      <c r="J7" s="32"/>
      <c r="K7" s="33"/>
    </row>
    <row r="8" spans="1:11" s="5" customFormat="1" x14ac:dyDescent="0.25">
      <c r="A8" s="6"/>
      <c r="B8" s="6"/>
      <c r="C8" s="6"/>
      <c r="D8" s="6"/>
      <c r="E8" s="6"/>
      <c r="F8" s="7"/>
      <c r="G8" s="8"/>
      <c r="H8" s="36"/>
      <c r="I8" s="37"/>
      <c r="J8" s="32"/>
      <c r="K8" s="33"/>
    </row>
    <row r="9" spans="1:11" s="5" customFormat="1" x14ac:dyDescent="0.25">
      <c r="A9" s="27" t="s">
        <v>1</v>
      </c>
      <c r="E9" s="95" t="s">
        <v>28</v>
      </c>
      <c r="F9" s="96"/>
      <c r="G9" s="28"/>
      <c r="H9" s="36"/>
      <c r="I9" s="37"/>
      <c r="J9" s="32"/>
      <c r="K9" s="33"/>
    </row>
    <row r="10" spans="1:11" s="5" customFormat="1" x14ac:dyDescent="0.25">
      <c r="A10" s="27"/>
      <c r="E10" s="97" t="s">
        <v>14</v>
      </c>
      <c r="F10" s="98"/>
      <c r="G10" s="43">
        <f>SUM(B22:B42)</f>
        <v>69282286.200000003</v>
      </c>
      <c r="H10" s="36"/>
      <c r="I10" s="37"/>
      <c r="J10" s="32"/>
      <c r="K10" s="33"/>
    </row>
    <row r="11" spans="1:11" s="5" customFormat="1" ht="28.5" customHeight="1" thickBot="1" x14ac:dyDescent="0.3">
      <c r="A11" s="29" t="s">
        <v>2</v>
      </c>
      <c r="B11" s="46">
        <v>230940954</v>
      </c>
      <c r="C11" s="30"/>
      <c r="E11" s="102" t="s">
        <v>18</v>
      </c>
      <c r="F11" s="103"/>
      <c r="G11" s="43">
        <f>SUM(I55:I68)+SUM(I22:I42)</f>
        <v>69282286.200000003</v>
      </c>
      <c r="H11" s="38"/>
      <c r="I11" s="37"/>
      <c r="J11" s="32"/>
      <c r="K11" s="33"/>
    </row>
    <row r="12" spans="1:11" s="5" customFormat="1" ht="32.25" customHeight="1" thickBot="1" x14ac:dyDescent="0.3">
      <c r="A12" s="30"/>
      <c r="B12" s="30"/>
      <c r="C12" s="30"/>
      <c r="D12" s="31" t="s">
        <v>3</v>
      </c>
      <c r="E12" s="104" t="s">
        <v>16</v>
      </c>
      <c r="F12" s="105"/>
      <c r="G12" s="48">
        <f>IFERROR(J12,"%                                                                                             - ")</f>
        <v>0.3</v>
      </c>
      <c r="H12" s="38"/>
      <c r="I12" s="37" t="b">
        <f>AND($H$22=" ", $J$55 = " ")</f>
        <v>0</v>
      </c>
      <c r="J12" s="32">
        <f>IF(I12=FALSE, $G$11/$B$11, $G$11/$B$11)</f>
        <v>0.3</v>
      </c>
      <c r="K12" s="33"/>
    </row>
    <row r="13" spans="1:11" s="5" customFormat="1" x14ac:dyDescent="0.25">
      <c r="E13" s="99" t="s">
        <v>42</v>
      </c>
      <c r="F13" s="99"/>
      <c r="G13" s="63">
        <f>IFERROR((SUMIF($H$21:$H$85,"Black American",$I$21:$I$85)/$B$11),0)</f>
        <v>0</v>
      </c>
      <c r="H13" s="36"/>
      <c r="I13" s="37"/>
      <c r="J13" s="32"/>
      <c r="K13" s="33"/>
    </row>
    <row r="14" spans="1:11" s="5" customFormat="1" x14ac:dyDescent="0.25">
      <c r="E14" s="99" t="s">
        <v>43</v>
      </c>
      <c r="F14" s="99"/>
      <c r="G14" s="63">
        <f>IFERROR((SUMIF($H$21:$H$85,"Hispanic American",$I$21:$I$85)/$B$11),0)</f>
        <v>0</v>
      </c>
      <c r="H14" s="36"/>
      <c r="I14" s="37"/>
      <c r="J14" s="32"/>
      <c r="K14" s="33"/>
    </row>
    <row r="15" spans="1:11" s="5" customFormat="1" x14ac:dyDescent="0.25">
      <c r="E15" s="99" t="s">
        <v>45</v>
      </c>
      <c r="F15" s="99"/>
      <c r="G15" s="63">
        <f>IFERROR((SUMIF($H$21:$H$85,"Native American",$I$21:$I$85)/$B$11),0)</f>
        <v>0</v>
      </c>
      <c r="H15" s="36"/>
      <c r="I15" s="37"/>
      <c r="J15" s="32"/>
      <c r="K15" s="33"/>
    </row>
    <row r="16" spans="1:11" s="5" customFormat="1" x14ac:dyDescent="0.25">
      <c r="E16" s="99" t="s">
        <v>41</v>
      </c>
      <c r="F16" s="99"/>
      <c r="G16" s="63">
        <f>IFERROR((SUMIF($H$21:$H$85,"Asian American",$I$21:$I$85)/$B$11),0)</f>
        <v>0</v>
      </c>
      <c r="H16" s="36"/>
      <c r="I16" s="37"/>
      <c r="J16" s="32"/>
      <c r="K16" s="33"/>
    </row>
    <row r="17" spans="1:13" s="5" customFormat="1" x14ac:dyDescent="0.25">
      <c r="E17" s="100" t="s">
        <v>44</v>
      </c>
      <c r="F17" s="101"/>
      <c r="G17" s="63">
        <f>IFERROR((SUMIF($H$21:$H$85,"Caucasian WBE",$I$21:$I$85)/$B$11),0)</f>
        <v>0</v>
      </c>
      <c r="H17" s="36"/>
      <c r="I17" s="37"/>
      <c r="J17" s="32"/>
      <c r="K17" s="33"/>
    </row>
    <row r="18" spans="1:13" s="5" customFormat="1" x14ac:dyDescent="0.25">
      <c r="E18" s="99" t="s">
        <v>40</v>
      </c>
      <c r="F18" s="99"/>
      <c r="G18" s="63">
        <f>IFERROR((SUMIF($H$21:$H$85,"Unspecified",$I$21:$I$85)/$B$11),0)</f>
        <v>0.3</v>
      </c>
      <c r="H18" s="36"/>
      <c r="I18" s="37"/>
      <c r="J18" s="32"/>
      <c r="K18" s="33"/>
    </row>
    <row r="19" spans="1:13" s="5" customFormat="1" x14ac:dyDescent="0.25">
      <c r="H19" s="36"/>
      <c r="I19" s="37"/>
      <c r="J19" s="32"/>
      <c r="K19" s="33"/>
    </row>
    <row r="20" spans="1:13" s="5" customFormat="1" ht="60" x14ac:dyDescent="0.25">
      <c r="A20" s="2" t="s">
        <v>15</v>
      </c>
      <c r="B20" s="1" t="s">
        <v>4</v>
      </c>
      <c r="C20" s="2" t="s">
        <v>6</v>
      </c>
      <c r="D20" s="2" t="s">
        <v>8</v>
      </c>
      <c r="E20" s="2" t="s">
        <v>9</v>
      </c>
      <c r="F20" s="2" t="s">
        <v>34</v>
      </c>
      <c r="G20" s="2" t="s">
        <v>35</v>
      </c>
      <c r="H20" s="2" t="s">
        <v>20</v>
      </c>
      <c r="I20" s="49" t="s">
        <v>19</v>
      </c>
      <c r="K20" s="37"/>
      <c r="L20" s="32"/>
      <c r="M20" s="33"/>
    </row>
    <row r="21" spans="1:13" s="5" customFormat="1" ht="30.75" thickBot="1" x14ac:dyDescent="0.3">
      <c r="A21" s="57" t="s">
        <v>7</v>
      </c>
      <c r="B21" s="58">
        <v>10000</v>
      </c>
      <c r="C21" s="59" t="s">
        <v>10</v>
      </c>
      <c r="D21" s="60">
        <v>50</v>
      </c>
      <c r="E21" s="60">
        <v>30</v>
      </c>
      <c r="F21" s="60">
        <v>10</v>
      </c>
      <c r="G21" s="60" t="s">
        <v>5</v>
      </c>
      <c r="H21" s="61" t="s">
        <v>39</v>
      </c>
      <c r="I21" s="62">
        <v>10000</v>
      </c>
      <c r="K21" s="37"/>
      <c r="L21" s="32"/>
      <c r="M21" s="33"/>
    </row>
    <row r="22" spans="1:13" s="5" customFormat="1" ht="30" x14ac:dyDescent="0.25">
      <c r="A22" s="53" t="s">
        <v>487</v>
      </c>
      <c r="B22" s="11">
        <f>15%*B11</f>
        <v>34641143.100000001</v>
      </c>
      <c r="C22" s="54" t="s">
        <v>1197</v>
      </c>
      <c r="D22" s="25">
        <v>12</v>
      </c>
      <c r="E22" s="25">
        <v>7</v>
      </c>
      <c r="F22" s="55">
        <v>7</v>
      </c>
      <c r="G22" s="55" t="s">
        <v>5</v>
      </c>
      <c r="H22" s="55" t="s">
        <v>21</v>
      </c>
      <c r="I22" s="56">
        <f>IF(G22="yes",B22,0)</f>
        <v>34641143.100000001</v>
      </c>
      <c r="K22" s="37"/>
      <c r="L22" s="32"/>
      <c r="M22" s="33"/>
    </row>
    <row r="23" spans="1:13" s="5" customFormat="1" ht="30" x14ac:dyDescent="0.25">
      <c r="A23" s="23" t="s">
        <v>488</v>
      </c>
      <c r="B23" s="11">
        <f>15%*B11</f>
        <v>34641143.100000001</v>
      </c>
      <c r="C23" s="26" t="s">
        <v>1198</v>
      </c>
      <c r="D23" s="22">
        <v>36</v>
      </c>
      <c r="E23" s="22">
        <v>11</v>
      </c>
      <c r="F23" s="24">
        <v>11</v>
      </c>
      <c r="G23" s="24" t="s">
        <v>5</v>
      </c>
      <c r="H23" s="24" t="s">
        <v>21</v>
      </c>
      <c r="I23" s="56">
        <f t="shared" ref="I23:I26" si="0">IF(G23="yes",B23,0)</f>
        <v>34641143.100000001</v>
      </c>
      <c r="K23" s="37"/>
      <c r="L23" s="32"/>
      <c r="M23" s="33"/>
    </row>
    <row r="24" spans="1:13" s="5" customFormat="1" x14ac:dyDescent="0.25">
      <c r="A24" s="23"/>
      <c r="B24" s="11">
        <f t="shared" ref="B24:B27" si="1">15%*B13</f>
        <v>0</v>
      </c>
      <c r="C24" s="26"/>
      <c r="D24" s="22"/>
      <c r="E24" s="22"/>
      <c r="F24" s="24"/>
      <c r="G24" s="24"/>
      <c r="H24" s="24"/>
      <c r="I24" s="56">
        <f t="shared" si="0"/>
        <v>0</v>
      </c>
      <c r="K24" s="39"/>
      <c r="L24" s="32"/>
      <c r="M24" s="33"/>
    </row>
    <row r="25" spans="1:13" s="5" customFormat="1" x14ac:dyDescent="0.25">
      <c r="A25" s="23"/>
      <c r="B25" s="11">
        <f t="shared" si="1"/>
        <v>0</v>
      </c>
      <c r="C25" s="26"/>
      <c r="D25" s="18"/>
      <c r="E25" s="18"/>
      <c r="F25" s="24"/>
      <c r="G25" s="24"/>
      <c r="H25" s="24"/>
      <c r="I25" s="56">
        <f t="shared" si="0"/>
        <v>0</v>
      </c>
      <c r="K25" s="37"/>
      <c r="L25" s="32"/>
      <c r="M25" s="33"/>
    </row>
    <row r="26" spans="1:13" s="5" customFormat="1" ht="15.75" x14ac:dyDescent="0.25">
      <c r="A26" s="66"/>
      <c r="B26" s="11">
        <f t="shared" si="1"/>
        <v>0</v>
      </c>
      <c r="C26" s="26"/>
      <c r="D26" s="18"/>
      <c r="E26" s="18"/>
      <c r="F26" s="24"/>
      <c r="G26" s="24"/>
      <c r="H26" s="24"/>
      <c r="I26" s="56">
        <f t="shared" si="0"/>
        <v>0</v>
      </c>
      <c r="K26" s="37"/>
      <c r="L26" s="32"/>
      <c r="M26" s="33"/>
    </row>
    <row r="27" spans="1:13" s="5" customFormat="1" x14ac:dyDescent="0.25">
      <c r="A27" s="10"/>
      <c r="B27" s="11">
        <f t="shared" si="1"/>
        <v>0</v>
      </c>
      <c r="C27" s="64"/>
      <c r="D27" s="12"/>
      <c r="E27" s="12"/>
      <c r="F27" s="12"/>
      <c r="G27" s="12"/>
      <c r="H27" s="12"/>
      <c r="I27" s="47">
        <f t="shared" ref="I27:I42" si="2">IF(G27="yes",B27,0)</f>
        <v>0</v>
      </c>
      <c r="K27" s="37"/>
      <c r="L27" s="32"/>
      <c r="M27" s="33"/>
    </row>
    <row r="28" spans="1:13" s="5" customFormat="1" x14ac:dyDescent="0.25">
      <c r="A28" s="10"/>
      <c r="B28" s="11">
        <v>0</v>
      </c>
      <c r="C28" s="65"/>
      <c r="D28" s="12"/>
      <c r="E28" s="12"/>
      <c r="F28" s="12"/>
      <c r="G28" s="12"/>
      <c r="H28" s="12"/>
      <c r="I28" s="47">
        <f>IF(G28="yes",B22,0)</f>
        <v>0</v>
      </c>
      <c r="K28" s="37"/>
      <c r="L28" s="42"/>
      <c r="M28" s="33"/>
    </row>
    <row r="29" spans="1:13" s="5" customFormat="1" x14ac:dyDescent="0.25">
      <c r="A29" s="10"/>
      <c r="B29" s="11">
        <v>0</v>
      </c>
      <c r="C29" s="65"/>
      <c r="D29" s="12"/>
      <c r="E29" s="12"/>
      <c r="F29" s="12"/>
      <c r="G29" s="12"/>
      <c r="H29" s="12"/>
      <c r="I29" s="47">
        <f>IF(G29="yes",B23,0)</f>
        <v>0</v>
      </c>
      <c r="K29" s="37"/>
      <c r="L29" s="32"/>
      <c r="M29" s="33"/>
    </row>
    <row r="30" spans="1:13" s="5" customFormat="1" x14ac:dyDescent="0.25">
      <c r="A30" s="10"/>
      <c r="B30" s="11">
        <v>0</v>
      </c>
      <c r="C30" s="65"/>
      <c r="D30" s="12"/>
      <c r="E30" s="12"/>
      <c r="F30" s="12"/>
      <c r="G30" s="12"/>
      <c r="H30" s="12"/>
      <c r="I30" s="47">
        <f>IF(G30="yes",B24,0)</f>
        <v>0</v>
      </c>
      <c r="K30" s="37"/>
      <c r="L30" s="32"/>
      <c r="M30" s="33"/>
    </row>
    <row r="31" spans="1:13" s="5" customFormat="1" x14ac:dyDescent="0.25">
      <c r="A31" s="10"/>
      <c r="B31" s="11">
        <v>0</v>
      </c>
      <c r="C31" s="65"/>
      <c r="D31" s="12"/>
      <c r="E31" s="12"/>
      <c r="F31" s="12"/>
      <c r="G31" s="12"/>
      <c r="H31" s="12"/>
      <c r="I31" s="47">
        <f>IF(G31="yes",B25,0)</f>
        <v>0</v>
      </c>
      <c r="K31" s="37"/>
      <c r="L31" s="32"/>
      <c r="M31" s="33"/>
    </row>
    <row r="32" spans="1:13" s="5" customFormat="1" x14ac:dyDescent="0.25">
      <c r="A32" s="10"/>
      <c r="B32" s="11">
        <v>0</v>
      </c>
      <c r="C32" s="65"/>
      <c r="D32" s="12"/>
      <c r="E32" s="12"/>
      <c r="F32" s="12"/>
      <c r="G32" s="12"/>
      <c r="H32" s="12"/>
      <c r="I32" s="47">
        <f>IF(G32="yes",B26,0)</f>
        <v>0</v>
      </c>
      <c r="K32" s="37"/>
      <c r="L32" s="32"/>
      <c r="M32" s="33"/>
    </row>
    <row r="33" spans="1:13" s="5" customFormat="1" x14ac:dyDescent="0.25">
      <c r="A33" s="10"/>
      <c r="B33" s="11">
        <v>0</v>
      </c>
      <c r="C33" s="65"/>
      <c r="D33" s="12"/>
      <c r="E33" s="12"/>
      <c r="F33" s="12"/>
      <c r="G33" s="12"/>
      <c r="H33" s="12"/>
      <c r="I33" s="47">
        <f t="shared" si="2"/>
        <v>0</v>
      </c>
      <c r="K33" s="37"/>
      <c r="L33" s="32"/>
      <c r="M33" s="33"/>
    </row>
    <row r="34" spans="1:13" s="5" customFormat="1" x14ac:dyDescent="0.25">
      <c r="A34" s="10"/>
      <c r="B34" s="11">
        <v>0</v>
      </c>
      <c r="C34" s="65"/>
      <c r="D34" s="12"/>
      <c r="E34" s="12"/>
      <c r="F34" s="12"/>
      <c r="G34" s="12"/>
      <c r="H34" s="12"/>
      <c r="I34" s="47">
        <f t="shared" si="2"/>
        <v>0</v>
      </c>
      <c r="K34" s="37"/>
      <c r="L34" s="32"/>
      <c r="M34" s="33"/>
    </row>
    <row r="35" spans="1:13" s="5" customFormat="1" x14ac:dyDescent="0.25">
      <c r="A35" s="10"/>
      <c r="B35" s="11">
        <v>0</v>
      </c>
      <c r="C35" s="65"/>
      <c r="D35" s="12"/>
      <c r="E35" s="12"/>
      <c r="F35" s="12"/>
      <c r="G35" s="12"/>
      <c r="H35" s="12"/>
      <c r="I35" s="47">
        <f t="shared" si="2"/>
        <v>0</v>
      </c>
      <c r="K35" s="37"/>
      <c r="L35" s="32"/>
      <c r="M35" s="33"/>
    </row>
    <row r="36" spans="1:13" s="5" customFormat="1" x14ac:dyDescent="0.25">
      <c r="A36" s="10"/>
      <c r="B36" s="11">
        <v>0</v>
      </c>
      <c r="C36" s="65"/>
      <c r="D36" s="12"/>
      <c r="E36" s="12"/>
      <c r="F36" s="12"/>
      <c r="G36" s="12"/>
      <c r="H36" s="12"/>
      <c r="I36" s="47">
        <f t="shared" si="2"/>
        <v>0</v>
      </c>
      <c r="K36" s="37"/>
      <c r="L36" s="32"/>
      <c r="M36" s="33"/>
    </row>
    <row r="37" spans="1:13" s="5" customFormat="1" x14ac:dyDescent="0.25">
      <c r="A37" s="10"/>
      <c r="B37" s="11">
        <v>0</v>
      </c>
      <c r="C37" s="65"/>
      <c r="D37" s="12"/>
      <c r="E37" s="12"/>
      <c r="F37" s="12"/>
      <c r="G37" s="12"/>
      <c r="H37" s="12"/>
      <c r="I37" s="47">
        <f t="shared" si="2"/>
        <v>0</v>
      </c>
      <c r="K37" s="37"/>
      <c r="L37" s="32"/>
      <c r="M37" s="33"/>
    </row>
    <row r="38" spans="1:13" s="5" customFormat="1" x14ac:dyDescent="0.25">
      <c r="A38" s="10"/>
      <c r="B38" s="11">
        <v>0</v>
      </c>
      <c r="C38" s="65"/>
      <c r="D38" s="12"/>
      <c r="E38" s="12"/>
      <c r="F38" s="12"/>
      <c r="G38" s="12"/>
      <c r="H38" s="12"/>
      <c r="I38" s="47">
        <f t="shared" si="2"/>
        <v>0</v>
      </c>
      <c r="K38" s="37"/>
      <c r="L38" s="32"/>
      <c r="M38" s="33"/>
    </row>
    <row r="39" spans="1:13" s="5" customFormat="1" x14ac:dyDescent="0.25">
      <c r="A39" s="10"/>
      <c r="B39" s="11">
        <v>0</v>
      </c>
      <c r="C39" s="65"/>
      <c r="D39" s="12"/>
      <c r="E39" s="12"/>
      <c r="F39" s="12"/>
      <c r="G39" s="12"/>
      <c r="H39" s="12"/>
      <c r="I39" s="47">
        <f t="shared" si="2"/>
        <v>0</v>
      </c>
      <c r="K39" s="37"/>
      <c r="L39" s="32"/>
      <c r="M39" s="33"/>
    </row>
    <row r="40" spans="1:13" s="5" customFormat="1" x14ac:dyDescent="0.25">
      <c r="A40" s="10"/>
      <c r="B40" s="11">
        <v>0</v>
      </c>
      <c r="C40" s="65"/>
      <c r="D40" s="12"/>
      <c r="E40" s="12"/>
      <c r="F40" s="12"/>
      <c r="G40" s="12"/>
      <c r="H40" s="12"/>
      <c r="I40" s="47">
        <f t="shared" si="2"/>
        <v>0</v>
      </c>
      <c r="K40" s="37"/>
      <c r="L40" s="32"/>
      <c r="M40" s="33"/>
    </row>
    <row r="41" spans="1:13" s="5" customFormat="1" x14ac:dyDescent="0.25">
      <c r="A41" s="10"/>
      <c r="B41" s="11">
        <v>0</v>
      </c>
      <c r="C41" s="65"/>
      <c r="D41" s="12"/>
      <c r="E41" s="12"/>
      <c r="F41" s="12"/>
      <c r="G41" s="12"/>
      <c r="H41" s="12"/>
      <c r="I41" s="47">
        <f t="shared" si="2"/>
        <v>0</v>
      </c>
      <c r="K41" s="37"/>
      <c r="L41" s="32"/>
      <c r="M41" s="33"/>
    </row>
    <row r="42" spans="1:13" s="5" customFormat="1" x14ac:dyDescent="0.25">
      <c r="A42" s="10"/>
      <c r="B42" s="11">
        <v>0</v>
      </c>
      <c r="C42" s="65"/>
      <c r="D42" s="12"/>
      <c r="E42" s="12"/>
      <c r="F42" s="12"/>
      <c r="G42" s="12"/>
      <c r="H42" s="12"/>
      <c r="I42" s="47">
        <f t="shared" si="2"/>
        <v>0</v>
      </c>
      <c r="K42" s="37"/>
      <c r="L42" s="32"/>
      <c r="M42" s="33"/>
    </row>
    <row r="43" spans="1:13" s="5" customFormat="1" x14ac:dyDescent="0.25">
      <c r="B43" s="30"/>
      <c r="C43" s="30"/>
      <c r="D43" s="8"/>
      <c r="E43" s="8"/>
      <c r="F43" s="8"/>
      <c r="G43" s="21"/>
      <c r="H43" s="36"/>
      <c r="I43" s="37"/>
      <c r="J43" s="32"/>
      <c r="K43" s="33"/>
    </row>
    <row r="44" spans="1:13" s="5" customFormat="1" ht="15" customHeight="1" x14ac:dyDescent="0.25">
      <c r="A44" s="85" t="s">
        <v>12</v>
      </c>
      <c r="B44" s="86"/>
      <c r="C44" s="86"/>
      <c r="D44" s="86"/>
      <c r="E44" s="86"/>
      <c r="F44" s="87"/>
      <c r="G44" s="88"/>
      <c r="H44" s="36"/>
      <c r="I44" s="37"/>
      <c r="J44" s="32"/>
      <c r="K44" s="33"/>
    </row>
    <row r="45" spans="1:13" s="5" customFormat="1" x14ac:dyDescent="0.25">
      <c r="A45" s="89"/>
      <c r="B45" s="90"/>
      <c r="C45" s="90"/>
      <c r="D45" s="90"/>
      <c r="E45" s="90"/>
      <c r="F45" s="91"/>
      <c r="G45" s="92"/>
      <c r="H45" s="36"/>
      <c r="I45" s="37"/>
      <c r="J45" s="32"/>
      <c r="K45" s="33"/>
    </row>
    <row r="46" spans="1:13" s="5" customFormat="1" x14ac:dyDescent="0.25">
      <c r="A46" s="73" t="s">
        <v>1201</v>
      </c>
      <c r="B46" s="74"/>
      <c r="C46" s="74"/>
      <c r="D46" s="74"/>
      <c r="E46" s="74"/>
      <c r="F46" s="74"/>
      <c r="G46" s="108"/>
      <c r="H46" s="36"/>
      <c r="I46" s="37"/>
      <c r="J46" s="32"/>
      <c r="K46" s="33"/>
    </row>
    <row r="47" spans="1:13" s="5" customFormat="1" x14ac:dyDescent="0.25">
      <c r="A47" s="77"/>
      <c r="B47" s="109"/>
      <c r="C47" s="109"/>
      <c r="D47" s="109"/>
      <c r="E47" s="109"/>
      <c r="F47" s="109"/>
      <c r="G47" s="110"/>
      <c r="H47" s="36"/>
      <c r="I47" s="37"/>
      <c r="J47" s="32"/>
      <c r="K47" s="33"/>
    </row>
    <row r="48" spans="1:13" s="5" customFormat="1" ht="15" customHeight="1" x14ac:dyDescent="0.25">
      <c r="A48" s="77"/>
      <c r="B48" s="109"/>
      <c r="C48" s="109"/>
      <c r="D48" s="109"/>
      <c r="E48" s="109"/>
      <c r="F48" s="109"/>
      <c r="G48" s="110"/>
      <c r="H48" s="36"/>
      <c r="I48" s="37"/>
      <c r="J48" s="32"/>
      <c r="K48" s="33"/>
    </row>
    <row r="49" spans="1:13" s="5" customFormat="1" x14ac:dyDescent="0.25">
      <c r="A49" s="81"/>
      <c r="B49" s="82"/>
      <c r="C49" s="82"/>
      <c r="D49" s="82"/>
      <c r="E49" s="82"/>
      <c r="F49" s="82"/>
      <c r="G49" s="111"/>
      <c r="H49" s="36"/>
      <c r="I49" s="37"/>
      <c r="J49" s="32"/>
      <c r="K49" s="33"/>
    </row>
    <row r="50" spans="1:13" s="5" customFormat="1" x14ac:dyDescent="0.25">
      <c r="F50" s="45"/>
      <c r="G50" s="45"/>
      <c r="H50" s="36"/>
      <c r="I50" s="37"/>
      <c r="J50" s="32"/>
      <c r="K50" s="33"/>
    </row>
    <row r="51" spans="1:13" s="5" customFormat="1" ht="15" customHeight="1" x14ac:dyDescent="0.25">
      <c r="A51" s="44" t="s">
        <v>47</v>
      </c>
      <c r="H51" s="36"/>
      <c r="I51" s="37"/>
      <c r="J51" s="32"/>
      <c r="K51" s="33"/>
    </row>
    <row r="52" spans="1:13" s="5" customFormat="1" x14ac:dyDescent="0.25">
      <c r="H52" s="36"/>
      <c r="I52" s="37"/>
      <c r="J52" s="32"/>
      <c r="K52" s="33"/>
    </row>
    <row r="53" spans="1:13" s="5" customFormat="1" ht="48" customHeight="1" x14ac:dyDescent="0.25">
      <c r="A53" s="20" t="s">
        <v>27</v>
      </c>
      <c r="B53" s="20" t="s">
        <v>29</v>
      </c>
      <c r="C53" s="20" t="s">
        <v>30</v>
      </c>
      <c r="D53" s="20" t="s">
        <v>31</v>
      </c>
      <c r="E53" s="20" t="s">
        <v>32</v>
      </c>
      <c r="F53" s="2" t="s">
        <v>36</v>
      </c>
      <c r="G53" s="20" t="s">
        <v>37</v>
      </c>
      <c r="H53" s="2" t="s">
        <v>38</v>
      </c>
      <c r="I53" s="20" t="s">
        <v>33</v>
      </c>
      <c r="J53" s="36"/>
      <c r="K53" s="37"/>
      <c r="L53" s="32"/>
      <c r="M53" s="33"/>
    </row>
    <row r="54" spans="1:13" s="5" customFormat="1" ht="30.75" thickBot="1" x14ac:dyDescent="0.3">
      <c r="A54" s="13" t="s">
        <v>7</v>
      </c>
      <c r="B54" s="14">
        <v>10000</v>
      </c>
      <c r="C54" s="19" t="s">
        <v>10</v>
      </c>
      <c r="D54" s="15">
        <v>50</v>
      </c>
      <c r="E54" s="15">
        <v>30</v>
      </c>
      <c r="F54" s="52">
        <v>10</v>
      </c>
      <c r="G54" s="15" t="s">
        <v>5</v>
      </c>
      <c r="H54" s="15" t="s">
        <v>39</v>
      </c>
      <c r="I54" s="16">
        <v>10000</v>
      </c>
      <c r="J54" s="36"/>
      <c r="K54" s="37"/>
      <c r="L54" s="32"/>
      <c r="M54" s="33"/>
    </row>
    <row r="55" spans="1:13" s="5" customFormat="1" x14ac:dyDescent="0.25">
      <c r="A55" s="53"/>
      <c r="B55" s="11"/>
      <c r="C55" s="54"/>
      <c r="D55" s="25"/>
      <c r="E55" s="25"/>
      <c r="F55" s="25"/>
      <c r="G55" s="25"/>
      <c r="H55" s="24"/>
      <c r="I55" s="47">
        <f t="shared" ref="I55:I68" si="3">IF(G55="yes",B55,0)</f>
        <v>0</v>
      </c>
      <c r="J55" s="36"/>
      <c r="K55" s="37"/>
      <c r="L55" s="32"/>
      <c r="M55" s="33"/>
    </row>
    <row r="56" spans="1:13" s="5" customFormat="1" x14ac:dyDescent="0.25">
      <c r="A56" s="23"/>
      <c r="B56" s="11"/>
      <c r="C56" s="26"/>
      <c r="D56" s="22"/>
      <c r="E56" s="22"/>
      <c r="F56" s="22"/>
      <c r="G56" s="22"/>
      <c r="H56" s="24"/>
      <c r="I56" s="47">
        <f t="shared" si="3"/>
        <v>0</v>
      </c>
      <c r="J56" s="36"/>
      <c r="K56" s="37"/>
      <c r="L56" s="32"/>
      <c r="M56" s="33"/>
    </row>
    <row r="57" spans="1:13" s="5" customFormat="1" x14ac:dyDescent="0.25">
      <c r="A57" s="23"/>
      <c r="B57" s="11"/>
      <c r="C57" s="26"/>
      <c r="D57" s="22"/>
      <c r="E57" s="22"/>
      <c r="F57" s="22"/>
      <c r="G57" s="22"/>
      <c r="H57" s="24"/>
      <c r="I57" s="47">
        <f t="shared" si="3"/>
        <v>0</v>
      </c>
      <c r="J57" s="36"/>
      <c r="K57" s="37"/>
      <c r="L57" s="32"/>
      <c r="M57" s="33"/>
    </row>
    <row r="58" spans="1:13" s="5" customFormat="1" x14ac:dyDescent="0.25">
      <c r="A58" s="23"/>
      <c r="B58" s="11"/>
      <c r="C58" s="26"/>
      <c r="D58" s="18"/>
      <c r="E58" s="18"/>
      <c r="F58" s="18"/>
      <c r="G58" s="18"/>
      <c r="H58" s="12"/>
      <c r="I58" s="47">
        <f t="shared" si="3"/>
        <v>0</v>
      </c>
      <c r="J58" s="36"/>
      <c r="K58" s="37"/>
      <c r="L58" s="32"/>
      <c r="M58" s="33"/>
    </row>
    <row r="59" spans="1:13" s="5" customFormat="1" ht="15.75" x14ac:dyDescent="0.25">
      <c r="A59" s="66"/>
      <c r="B59" s="11"/>
      <c r="C59" s="26"/>
      <c r="D59" s="18"/>
      <c r="E59" s="18"/>
      <c r="F59" s="18"/>
      <c r="G59" s="18"/>
      <c r="H59" s="12"/>
      <c r="I59" s="47">
        <f t="shared" si="3"/>
        <v>0</v>
      </c>
      <c r="J59" s="36"/>
      <c r="K59" s="37"/>
      <c r="L59" s="32"/>
      <c r="M59" s="33"/>
    </row>
    <row r="60" spans="1:13" s="5" customFormat="1" x14ac:dyDescent="0.25">
      <c r="A60" s="17"/>
      <c r="B60" s="11"/>
      <c r="C60" s="64"/>
      <c r="D60" s="18"/>
      <c r="E60" s="18"/>
      <c r="F60" s="18"/>
      <c r="G60" s="18"/>
      <c r="H60" s="12"/>
      <c r="I60" s="47">
        <f t="shared" si="3"/>
        <v>0</v>
      </c>
      <c r="J60" s="36"/>
      <c r="K60" s="37"/>
      <c r="L60" s="32"/>
      <c r="M60" s="33"/>
    </row>
    <row r="61" spans="1:13" s="5" customFormat="1" x14ac:dyDescent="0.25">
      <c r="A61" s="17"/>
      <c r="B61" s="11"/>
      <c r="C61" s="64"/>
      <c r="D61" s="18"/>
      <c r="E61" s="18"/>
      <c r="F61" s="18"/>
      <c r="G61" s="18"/>
      <c r="H61" s="12"/>
      <c r="I61" s="47">
        <f t="shared" si="3"/>
        <v>0</v>
      </c>
      <c r="J61" s="36"/>
      <c r="K61" s="37"/>
      <c r="L61" s="32"/>
      <c r="M61" s="33"/>
    </row>
    <row r="62" spans="1:13" s="5" customFormat="1" x14ac:dyDescent="0.25">
      <c r="A62" s="17"/>
      <c r="B62" s="11"/>
      <c r="C62" s="64"/>
      <c r="D62" s="18"/>
      <c r="E62" s="18"/>
      <c r="F62" s="18"/>
      <c r="G62" s="18"/>
      <c r="H62" s="12"/>
      <c r="I62" s="47">
        <f t="shared" si="3"/>
        <v>0</v>
      </c>
      <c r="J62" s="36"/>
      <c r="K62" s="37"/>
      <c r="L62" s="32"/>
      <c r="M62" s="33"/>
    </row>
    <row r="63" spans="1:13" s="5" customFormat="1" x14ac:dyDescent="0.25">
      <c r="A63" s="53"/>
      <c r="B63" s="11"/>
      <c r="C63" s="54"/>
      <c r="D63" s="55"/>
      <c r="E63" s="55"/>
      <c r="F63" s="18"/>
      <c r="G63" s="18"/>
      <c r="H63" s="12"/>
      <c r="I63" s="47">
        <f t="shared" si="3"/>
        <v>0</v>
      </c>
      <c r="J63" s="36"/>
      <c r="K63" s="37"/>
      <c r="L63" s="32"/>
      <c r="M63" s="33"/>
    </row>
    <row r="64" spans="1:13" s="5" customFormat="1" x14ac:dyDescent="0.25">
      <c r="A64" s="23"/>
      <c r="B64" s="11"/>
      <c r="C64" s="26"/>
      <c r="D64" s="24"/>
      <c r="E64" s="24"/>
      <c r="F64" s="18"/>
      <c r="G64" s="18"/>
      <c r="H64" s="12"/>
      <c r="I64" s="47">
        <f t="shared" si="3"/>
        <v>0</v>
      </c>
      <c r="J64" s="36"/>
      <c r="K64" s="37"/>
      <c r="L64" s="32"/>
      <c r="M64" s="33"/>
    </row>
    <row r="65" spans="1:13" s="5" customFormat="1" x14ac:dyDescent="0.25">
      <c r="A65" s="23"/>
      <c r="B65" s="11"/>
      <c r="C65" s="26"/>
      <c r="D65" s="24"/>
      <c r="E65" s="24"/>
      <c r="F65" s="18"/>
      <c r="G65" s="18"/>
      <c r="H65" s="12"/>
      <c r="I65" s="47">
        <f t="shared" si="3"/>
        <v>0</v>
      </c>
      <c r="J65" s="36"/>
      <c r="K65" s="37"/>
      <c r="L65" s="32"/>
      <c r="M65" s="33"/>
    </row>
    <row r="66" spans="1:13" s="5" customFormat="1" x14ac:dyDescent="0.25">
      <c r="A66" s="23"/>
      <c r="B66" s="11"/>
      <c r="C66" s="26"/>
      <c r="D66" s="24"/>
      <c r="E66" s="24"/>
      <c r="F66" s="18"/>
      <c r="G66" s="18"/>
      <c r="H66" s="12"/>
      <c r="I66" s="47">
        <f t="shared" si="3"/>
        <v>0</v>
      </c>
      <c r="J66" s="36"/>
      <c r="K66" s="37"/>
      <c r="L66" s="32"/>
      <c r="M66" s="33"/>
    </row>
    <row r="67" spans="1:13" s="5" customFormat="1" x14ac:dyDescent="0.25">
      <c r="A67" s="23"/>
      <c r="B67" s="11"/>
      <c r="C67" s="26"/>
      <c r="D67" s="24"/>
      <c r="E67" s="24"/>
      <c r="F67" s="18"/>
      <c r="G67" s="18"/>
      <c r="H67" s="12"/>
      <c r="I67" s="47">
        <f t="shared" si="3"/>
        <v>0</v>
      </c>
      <c r="J67" s="36"/>
      <c r="K67" s="37"/>
      <c r="L67" s="32"/>
      <c r="M67" s="33"/>
    </row>
    <row r="68" spans="1:13" s="5" customFormat="1" x14ac:dyDescent="0.25">
      <c r="A68" s="17"/>
      <c r="B68" s="11"/>
      <c r="C68" s="64"/>
      <c r="D68" s="18"/>
      <c r="E68" s="18"/>
      <c r="F68" s="18"/>
      <c r="G68" s="18"/>
      <c r="H68" s="12"/>
      <c r="I68" s="47">
        <f t="shared" si="3"/>
        <v>0</v>
      </c>
      <c r="J68" s="36"/>
      <c r="K68" s="37"/>
      <c r="L68" s="32"/>
      <c r="M68" s="33"/>
    </row>
    <row r="69" spans="1:13" s="5" customFormat="1" x14ac:dyDescent="0.25">
      <c r="H69" s="36"/>
      <c r="I69" s="37"/>
      <c r="J69" s="32"/>
      <c r="K69" s="33"/>
    </row>
    <row r="70" spans="1:13" s="5" customFormat="1" x14ac:dyDescent="0.25">
      <c r="H70" s="36"/>
      <c r="I70" s="37"/>
      <c r="J70" s="32"/>
      <c r="K70" s="33"/>
    </row>
    <row r="71" spans="1:13" s="5" customFormat="1" ht="15" customHeight="1" x14ac:dyDescent="0.25">
      <c r="A71" s="85" t="s">
        <v>11</v>
      </c>
      <c r="B71" s="87"/>
      <c r="C71" s="87"/>
      <c r="D71" s="87"/>
      <c r="E71" s="87"/>
      <c r="F71" s="87"/>
      <c r="G71" s="88"/>
      <c r="H71" s="36"/>
      <c r="I71" s="37"/>
      <c r="J71" s="32"/>
      <c r="K71" s="33"/>
    </row>
    <row r="72" spans="1:13" s="5" customFormat="1" x14ac:dyDescent="0.25">
      <c r="A72" s="107"/>
      <c r="B72" s="91"/>
      <c r="C72" s="91"/>
      <c r="D72" s="91"/>
      <c r="E72" s="91"/>
      <c r="F72" s="91"/>
      <c r="G72" s="92"/>
      <c r="H72" s="36"/>
      <c r="I72" s="37"/>
      <c r="J72" s="32"/>
      <c r="K72" s="33"/>
    </row>
    <row r="73" spans="1:13" s="5" customFormat="1" ht="15" customHeight="1" x14ac:dyDescent="0.25">
      <c r="A73" s="73" t="s">
        <v>1200</v>
      </c>
      <c r="B73" s="74"/>
      <c r="C73" s="74"/>
      <c r="D73" s="74"/>
      <c r="E73" s="74"/>
      <c r="F73" s="75"/>
      <c r="G73" s="76"/>
      <c r="H73" s="36"/>
      <c r="I73" s="37"/>
      <c r="J73" s="32"/>
      <c r="K73" s="33"/>
    </row>
    <row r="74" spans="1:13" s="5" customFormat="1" x14ac:dyDescent="0.25">
      <c r="A74" s="77"/>
      <c r="B74" s="78"/>
      <c r="C74" s="78"/>
      <c r="D74" s="78"/>
      <c r="E74" s="78"/>
      <c r="F74" s="79"/>
      <c r="G74" s="80"/>
      <c r="H74" s="36"/>
      <c r="I74" s="37"/>
      <c r="J74" s="32"/>
      <c r="K74" s="33"/>
    </row>
    <row r="75" spans="1:13" s="5" customFormat="1" x14ac:dyDescent="0.25">
      <c r="A75" s="77"/>
      <c r="B75" s="78"/>
      <c r="C75" s="78"/>
      <c r="D75" s="78"/>
      <c r="E75" s="78"/>
      <c r="F75" s="79"/>
      <c r="G75" s="80"/>
      <c r="H75" s="36"/>
      <c r="I75" s="37"/>
      <c r="J75" s="32"/>
      <c r="K75" s="33"/>
    </row>
    <row r="76" spans="1:13" s="5" customFormat="1" x14ac:dyDescent="0.25">
      <c r="A76" s="81"/>
      <c r="B76" s="82"/>
      <c r="C76" s="82"/>
      <c r="D76" s="82"/>
      <c r="E76" s="82"/>
      <c r="F76" s="83"/>
      <c r="G76" s="84"/>
      <c r="H76" s="36"/>
      <c r="I76" s="37"/>
      <c r="J76" s="32"/>
      <c r="K76" s="33"/>
    </row>
    <row r="77" spans="1:13" s="5" customFormat="1" x14ac:dyDescent="0.25">
      <c r="H77" s="40"/>
      <c r="I77" s="37"/>
      <c r="J77" s="32"/>
      <c r="K77" s="33"/>
    </row>
    <row r="78" spans="1:13" s="5" customFormat="1" x14ac:dyDescent="0.25">
      <c r="H78" s="40" t="s">
        <v>5</v>
      </c>
      <c r="I78" s="37"/>
      <c r="J78" s="32"/>
      <c r="K78" s="33"/>
    </row>
    <row r="79" spans="1:13" s="5" customFormat="1" x14ac:dyDescent="0.25">
      <c r="A79" s="44" t="s">
        <v>47</v>
      </c>
      <c r="H79" s="40" t="s">
        <v>13</v>
      </c>
      <c r="I79" s="37"/>
      <c r="J79" s="32"/>
      <c r="K79" s="33"/>
    </row>
    <row r="80" spans="1:13" s="5" customFormat="1" x14ac:dyDescent="0.25">
      <c r="H80" s="8"/>
      <c r="I80" s="32"/>
      <c r="J80" s="32"/>
      <c r="K80" s="33"/>
    </row>
  </sheetData>
  <mergeCells count="18">
    <mergeCell ref="A2:E3"/>
    <mergeCell ref="A71:G72"/>
    <mergeCell ref="A73:G76"/>
    <mergeCell ref="A44:G45"/>
    <mergeCell ref="A46:G49"/>
    <mergeCell ref="G3:H3"/>
    <mergeCell ref="F5:G5"/>
    <mergeCell ref="F6:G6"/>
    <mergeCell ref="E9:F9"/>
    <mergeCell ref="E10:F10"/>
    <mergeCell ref="E18:F18"/>
    <mergeCell ref="E16:F16"/>
    <mergeCell ref="E13:F13"/>
    <mergeCell ref="E14:F14"/>
    <mergeCell ref="E17:F17"/>
    <mergeCell ref="E15:F15"/>
    <mergeCell ref="E11:F11"/>
    <mergeCell ref="E12:F12"/>
  </mergeCells>
  <dataValidations xWindow="1254" yWindow="535" count="6">
    <dataValidation type="list" operator="greaterThan" allowBlank="1" showInputMessage="1" showErrorMessage="1" errorTitle="Number" error="Entry Must be Yes or No" prompt="Please Input Yes or No" sqref="G22:G42" xr:uid="{00000000-0002-0000-0100-000000000000}">
      <formula1>$H$78:$H$79</formula1>
    </dataValidation>
    <dataValidation type="whole" operator="greaterThanOrEqual" allowBlank="1" showInputMessage="1" showErrorMessage="1" error="Input must be whole number" prompt="Please Input Whole Number" sqref="D63:E67 F22:F42 D27:E42" xr:uid="{00000000-0002-0000-0100-000001000000}">
      <formula1>0</formula1>
    </dataValidation>
    <dataValidation type="decimal" operator="greaterThanOrEqual" allowBlank="1" showInputMessage="1" showErrorMessage="1" error="Entry Must be Single Decimal Value" prompt="Please Input Decimal Dollar Value" sqref="I55:I68 I22:I42 B55:B68 B22:B42" xr:uid="{00000000-0002-0000-0100-000002000000}">
      <formula1>0</formula1>
    </dataValidation>
    <dataValidation type="whole" operator="greaterThanOrEqual" allowBlank="1" showInputMessage="1" showErrorMessage="1" error="Entry Must be Whole Number" prompt="Please Input Whole Number" sqref="F55:F68 D55:E62 D68:E68 D22:E26" xr:uid="{00000000-0002-0000-0100-000003000000}">
      <formula1>0</formula1>
    </dataValidation>
    <dataValidation type="list" operator="greaterThanOrEqual" allowBlank="1" showInputMessage="1" showErrorMessage="1" error="Entry Must be Yes or No" prompt="Please Select from Drop Down" sqref="G56:G68" xr:uid="{00000000-0002-0000-0100-000004000000}">
      <formula1>$H$78:$H$79</formula1>
    </dataValidation>
    <dataValidation type="list" operator="greaterThanOrEqual" allowBlank="1" showInputMessage="1" showErrorMessage="1" error="Entry Must be Yes or No" prompt="Please Select From Drop Down" sqref="G55" xr:uid="{00000000-0002-0000-0100-000005000000}">
      <formula1>$H$78:$H$79</formula1>
    </dataValidation>
  </dataValidations>
  <pageMargins left="0.7" right="0.7" top="0.75" bottom="0.75" header="0.3" footer="0.3"/>
  <pageSetup scale="47" fitToHeight="0" orientation="landscape" r:id="rId1"/>
  <headerFooter>
    <oddFooter>&amp;L&amp;8NYC M/WBE Participation Goals Worksheet (Revised 01/18)&amp;R&amp;8Document Created &amp;D</oddFooter>
  </headerFooter>
  <rowBreaks count="1" manualBreakCount="1">
    <brk id="51" max="12" man="1"/>
  </rowBreaks>
  <extLst>
    <ext xmlns:x14="http://schemas.microsoft.com/office/spreadsheetml/2009/9/main" uri="{CCE6A557-97BC-4b89-ADB6-D9C93CAAB3DF}">
      <x14:dataValidations xmlns:xm="http://schemas.microsoft.com/office/excel/2006/main" xWindow="1254" yWindow="535" count="1">
        <x14:dataValidation type="list" operator="greaterThanOrEqual" allowBlank="1" showInputMessage="1" showErrorMessage="1" prompt="Please Select Category from Drop Down" xr:uid="{00000000-0002-0000-0100-000006000000}">
          <x14:formula1>
            <xm:f>Sheet1!$A$1:$A$6</xm:f>
          </x14:formula1>
          <xm:sqref>H55:H68 H22:H42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99DCB-7A9C-49DF-A43D-17CB62DBDDF4}">
  <dimension ref="A1:AV20"/>
  <sheetViews>
    <sheetView topLeftCell="A11" workbookViewId="0">
      <selection activeCell="K17" sqref="K17"/>
    </sheetView>
  </sheetViews>
  <sheetFormatPr defaultRowHeight="15" x14ac:dyDescent="0.25"/>
  <cols>
    <col min="1" max="1" width="17.7109375" bestFit="1" customWidth="1"/>
    <col min="2" max="2" width="42.5703125" style="68" bestFit="1" customWidth="1"/>
    <col min="3" max="3" width="22.140625" bestFit="1" customWidth="1"/>
    <col min="4" max="4" width="10.5703125" bestFit="1" customWidth="1"/>
    <col min="5" max="5" width="11.5703125" bestFit="1" customWidth="1"/>
    <col min="6" max="6" width="12.42578125" bestFit="1" customWidth="1"/>
    <col min="7" max="7" width="32.28515625" bestFit="1" customWidth="1"/>
    <col min="8" max="8" width="147.5703125" style="67" bestFit="1" customWidth="1"/>
    <col min="9" max="9" width="12" bestFit="1" customWidth="1"/>
    <col min="10" max="10" width="25.140625" bestFit="1" customWidth="1"/>
    <col min="11" max="11" width="13.140625" bestFit="1" customWidth="1"/>
    <col min="12" max="12" width="23.28515625" bestFit="1" customWidth="1"/>
    <col min="13" max="13" width="13.85546875" bestFit="1" customWidth="1"/>
    <col min="14" max="14" width="13.28515625" bestFit="1" customWidth="1"/>
    <col min="15" max="15" width="11.140625" bestFit="1" customWidth="1"/>
    <col min="16" max="16" width="6" bestFit="1" customWidth="1"/>
    <col min="17" max="17" width="23.28515625" bestFit="1" customWidth="1"/>
    <col min="18" max="18" width="21" bestFit="1" customWidth="1"/>
    <col min="19" max="19" width="13.28515625" bestFit="1" customWidth="1"/>
    <col min="20" max="20" width="12.5703125" bestFit="1" customWidth="1"/>
    <col min="21" max="21" width="10.7109375" bestFit="1" customWidth="1"/>
    <col min="22" max="22" width="35.140625" bestFit="1" customWidth="1"/>
    <col min="23" max="23" width="22.140625" bestFit="1" customWidth="1"/>
    <col min="24" max="24" width="23" bestFit="1" customWidth="1"/>
    <col min="25" max="25" width="28" bestFit="1" customWidth="1"/>
    <col min="26" max="26" width="17.28515625" bestFit="1" customWidth="1"/>
    <col min="27" max="27" width="43" bestFit="1" customWidth="1"/>
    <col min="28" max="29" width="81" bestFit="1" customWidth="1"/>
    <col min="30" max="30" width="55.85546875" bestFit="1" customWidth="1"/>
    <col min="31" max="31" width="255.7109375" bestFit="1" customWidth="1"/>
    <col min="32" max="32" width="33" bestFit="1" customWidth="1"/>
    <col min="33" max="33" width="23.42578125" bestFit="1" customWidth="1"/>
    <col min="34" max="34" width="32" bestFit="1" customWidth="1"/>
    <col min="35" max="35" width="22.5703125" bestFit="1" customWidth="1"/>
    <col min="36" max="36" width="33.85546875" style="67" bestFit="1" customWidth="1"/>
    <col min="37" max="37" width="39.42578125" bestFit="1" customWidth="1"/>
    <col min="38" max="38" width="26.42578125" bestFit="1" customWidth="1"/>
    <col min="39" max="39" width="32" bestFit="1" customWidth="1"/>
    <col min="40" max="40" width="22.5703125" bestFit="1" customWidth="1"/>
    <col min="41" max="41" width="34.7109375" style="67" bestFit="1" customWidth="1"/>
    <col min="42" max="42" width="49" bestFit="1" customWidth="1"/>
    <col min="43" max="43" width="26.42578125" bestFit="1" customWidth="1"/>
    <col min="44" max="44" width="32" bestFit="1" customWidth="1"/>
    <col min="45" max="45" width="22.5703125" bestFit="1" customWidth="1"/>
    <col min="46" max="46" width="108.7109375" bestFit="1" customWidth="1"/>
    <col min="47" max="47" width="115.85546875" bestFit="1" customWidth="1"/>
    <col min="48" max="48" width="19.42578125" bestFit="1" customWidth="1"/>
  </cols>
  <sheetData>
    <row r="1" spans="1:48" x14ac:dyDescent="0.25">
      <c r="A1" t="s">
        <v>105</v>
      </c>
      <c r="B1" s="68" t="s">
        <v>489</v>
      </c>
    </row>
    <row r="2" spans="1:48" x14ac:dyDescent="0.25">
      <c r="A2" t="s">
        <v>104</v>
      </c>
      <c r="B2" s="68">
        <v>12</v>
      </c>
    </row>
    <row r="3" spans="1:48" x14ac:dyDescent="0.25">
      <c r="A3" t="s">
        <v>103</v>
      </c>
    </row>
    <row r="4" spans="1:48" ht="15.75" x14ac:dyDescent="0.25">
      <c r="A4" t="s">
        <v>490</v>
      </c>
      <c r="B4" s="70" t="s">
        <v>491</v>
      </c>
    </row>
    <row r="5" spans="1:48" x14ac:dyDescent="0.25">
      <c r="A5" t="s">
        <v>102</v>
      </c>
      <c r="B5" s="68" t="s">
        <v>101</v>
      </c>
    </row>
    <row r="6" spans="1:48" x14ac:dyDescent="0.25">
      <c r="A6" t="s">
        <v>3</v>
      </c>
      <c r="B6" s="68" t="s">
        <v>3</v>
      </c>
      <c r="C6" t="s">
        <v>3</v>
      </c>
      <c r="D6" t="s">
        <v>3</v>
      </c>
    </row>
    <row r="7" spans="1:48" x14ac:dyDescent="0.25">
      <c r="A7" t="s">
        <v>100</v>
      </c>
      <c r="B7" s="68" t="s">
        <v>99</v>
      </c>
      <c r="C7" t="s">
        <v>98</v>
      </c>
      <c r="D7" t="s">
        <v>97</v>
      </c>
      <c r="E7" t="s">
        <v>96</v>
      </c>
      <c r="F7" t="s">
        <v>95</v>
      </c>
      <c r="G7" t="s">
        <v>94</v>
      </c>
      <c r="H7" s="67" t="s">
        <v>93</v>
      </c>
      <c r="I7" t="s">
        <v>92</v>
      </c>
      <c r="J7" t="s">
        <v>91</v>
      </c>
      <c r="K7" t="s">
        <v>90</v>
      </c>
      <c r="L7" t="s">
        <v>89</v>
      </c>
      <c r="M7" t="s">
        <v>88</v>
      </c>
      <c r="N7" t="s">
        <v>87</v>
      </c>
      <c r="O7" t="s">
        <v>86</v>
      </c>
      <c r="P7" t="s">
        <v>85</v>
      </c>
      <c r="Q7" t="s">
        <v>84</v>
      </c>
      <c r="R7" t="s">
        <v>83</v>
      </c>
      <c r="S7" t="s">
        <v>82</v>
      </c>
      <c r="T7" t="s">
        <v>81</v>
      </c>
      <c r="U7" t="s">
        <v>80</v>
      </c>
      <c r="V7" t="s">
        <v>79</v>
      </c>
      <c r="W7" t="s">
        <v>78</v>
      </c>
      <c r="X7" t="s">
        <v>77</v>
      </c>
      <c r="Y7" t="s">
        <v>76</v>
      </c>
      <c r="Z7" t="s">
        <v>75</v>
      </c>
      <c r="AA7" t="s">
        <v>74</v>
      </c>
      <c r="AB7" t="s">
        <v>73</v>
      </c>
      <c r="AC7" t="s">
        <v>72</v>
      </c>
      <c r="AD7" t="s">
        <v>71</v>
      </c>
      <c r="AE7" t="s">
        <v>70</v>
      </c>
      <c r="AF7" t="s">
        <v>69</v>
      </c>
      <c r="AG7" t="s">
        <v>68</v>
      </c>
      <c r="AH7" t="s">
        <v>67</v>
      </c>
      <c r="AI7" t="s">
        <v>66</v>
      </c>
      <c r="AJ7" s="67" t="s">
        <v>65</v>
      </c>
      <c r="AK7" t="s">
        <v>64</v>
      </c>
      <c r="AL7" t="s">
        <v>63</v>
      </c>
      <c r="AM7" t="s">
        <v>62</v>
      </c>
      <c r="AN7" t="s">
        <v>61</v>
      </c>
      <c r="AO7" s="67" t="s">
        <v>60</v>
      </c>
      <c r="AP7" t="s">
        <v>59</v>
      </c>
      <c r="AQ7" t="s">
        <v>58</v>
      </c>
      <c r="AR7" t="s">
        <v>57</v>
      </c>
      <c r="AS7" t="s">
        <v>56</v>
      </c>
      <c r="AT7" t="s">
        <v>55</v>
      </c>
      <c r="AU7" t="s">
        <v>54</v>
      </c>
      <c r="AV7" t="s">
        <v>53</v>
      </c>
    </row>
    <row r="8" spans="1:48" ht="75" x14ac:dyDescent="0.25">
      <c r="A8" t="s">
        <v>492</v>
      </c>
      <c r="B8" s="72" t="s">
        <v>493</v>
      </c>
      <c r="C8" t="s">
        <v>3</v>
      </c>
      <c r="D8" t="s">
        <v>494</v>
      </c>
      <c r="E8" t="s">
        <v>495</v>
      </c>
      <c r="F8" t="s">
        <v>496</v>
      </c>
      <c r="G8" t="s">
        <v>497</v>
      </c>
      <c r="H8" s="71" t="s">
        <v>498</v>
      </c>
      <c r="I8" t="s">
        <v>52</v>
      </c>
      <c r="J8" t="s">
        <v>252</v>
      </c>
      <c r="K8" t="s">
        <v>51</v>
      </c>
      <c r="L8" t="s">
        <v>499</v>
      </c>
      <c r="M8" t="s">
        <v>3</v>
      </c>
      <c r="N8" t="s">
        <v>367</v>
      </c>
      <c r="O8" t="s">
        <v>108</v>
      </c>
      <c r="P8" t="s">
        <v>366</v>
      </c>
      <c r="Q8" t="s">
        <v>499</v>
      </c>
      <c r="R8" t="s">
        <v>500</v>
      </c>
      <c r="S8" t="s">
        <v>367</v>
      </c>
      <c r="T8" t="s">
        <v>108</v>
      </c>
      <c r="U8" t="s">
        <v>366</v>
      </c>
      <c r="V8" t="s">
        <v>501</v>
      </c>
      <c r="W8" t="s">
        <v>502</v>
      </c>
      <c r="X8" t="s">
        <v>3</v>
      </c>
      <c r="Y8" t="s">
        <v>3</v>
      </c>
      <c r="Z8" t="s">
        <v>292</v>
      </c>
      <c r="AA8" t="s">
        <v>113</v>
      </c>
      <c r="AB8" t="s">
        <v>123</v>
      </c>
      <c r="AC8" t="s">
        <v>291</v>
      </c>
      <c r="AD8" t="s">
        <v>3</v>
      </c>
      <c r="AE8" t="s">
        <v>503</v>
      </c>
      <c r="AF8" t="s">
        <v>504</v>
      </c>
      <c r="AG8" t="s">
        <v>505</v>
      </c>
      <c r="AH8" t="s">
        <v>295</v>
      </c>
      <c r="AI8" t="s">
        <v>325</v>
      </c>
      <c r="AJ8" s="67" t="s">
        <v>506</v>
      </c>
      <c r="AK8" t="s">
        <v>507</v>
      </c>
      <c r="AL8" t="s">
        <v>508</v>
      </c>
      <c r="AM8" t="s">
        <v>48</v>
      </c>
      <c r="AN8" t="s">
        <v>509</v>
      </c>
      <c r="AO8" s="67" t="s">
        <v>510</v>
      </c>
      <c r="AP8" t="s">
        <v>511</v>
      </c>
      <c r="AQ8" t="s">
        <v>249</v>
      </c>
      <c r="AR8" t="s">
        <v>3</v>
      </c>
      <c r="AS8" t="s">
        <v>353</v>
      </c>
      <c r="AT8" t="s">
        <v>512</v>
      </c>
      <c r="AU8" t="s">
        <v>3</v>
      </c>
      <c r="AV8" t="s">
        <v>5</v>
      </c>
    </row>
    <row r="9" spans="1:48" ht="409.5" x14ac:dyDescent="0.25">
      <c r="A9" t="s">
        <v>513</v>
      </c>
      <c r="B9" s="72" t="s">
        <v>514</v>
      </c>
      <c r="C9" t="s">
        <v>3</v>
      </c>
      <c r="D9" t="s">
        <v>515</v>
      </c>
      <c r="E9" t="s">
        <v>516</v>
      </c>
      <c r="F9" t="s">
        <v>517</v>
      </c>
      <c r="G9" t="s">
        <v>518</v>
      </c>
      <c r="H9" s="71" t="s">
        <v>519</v>
      </c>
      <c r="I9" t="s">
        <v>116</v>
      </c>
      <c r="J9" t="s">
        <v>173</v>
      </c>
      <c r="K9" t="s">
        <v>169</v>
      </c>
      <c r="L9" t="s">
        <v>520</v>
      </c>
      <c r="M9" t="s">
        <v>3</v>
      </c>
      <c r="N9" t="s">
        <v>521</v>
      </c>
      <c r="O9" t="s">
        <v>135</v>
      </c>
      <c r="P9" t="s">
        <v>522</v>
      </c>
      <c r="Q9" t="s">
        <v>520</v>
      </c>
      <c r="R9" t="s">
        <v>3</v>
      </c>
      <c r="S9" t="s">
        <v>521</v>
      </c>
      <c r="T9" t="s">
        <v>135</v>
      </c>
      <c r="U9" t="s">
        <v>522</v>
      </c>
      <c r="V9" t="s">
        <v>523</v>
      </c>
      <c r="W9" t="s">
        <v>524</v>
      </c>
      <c r="X9" t="s">
        <v>3</v>
      </c>
      <c r="Y9" t="s">
        <v>3</v>
      </c>
      <c r="Z9">
        <v>541990</v>
      </c>
      <c r="AA9" t="s">
        <v>113</v>
      </c>
      <c r="AB9" t="s">
        <v>160</v>
      </c>
      <c r="AC9" t="s">
        <v>159</v>
      </c>
      <c r="AD9" t="s">
        <v>3</v>
      </c>
      <c r="AE9" t="s">
        <v>525</v>
      </c>
      <c r="AF9" t="s">
        <v>3</v>
      </c>
      <c r="AG9" t="s">
        <v>3</v>
      </c>
      <c r="AH9" t="s">
        <v>3</v>
      </c>
      <c r="AI9" t="s">
        <v>3</v>
      </c>
      <c r="AJ9" s="67" t="s">
        <v>3</v>
      </c>
      <c r="AK9" t="s">
        <v>3</v>
      </c>
      <c r="AL9" t="s">
        <v>3</v>
      </c>
      <c r="AM9" t="s">
        <v>3</v>
      </c>
      <c r="AN9" t="s">
        <v>3</v>
      </c>
      <c r="AO9" s="67" t="s">
        <v>3</v>
      </c>
      <c r="AP9" t="s">
        <v>3</v>
      </c>
      <c r="AQ9" t="s">
        <v>3</v>
      </c>
      <c r="AR9" t="s">
        <v>3</v>
      </c>
      <c r="AS9" t="s">
        <v>3</v>
      </c>
      <c r="AT9" t="s">
        <v>3</v>
      </c>
      <c r="AU9" t="s">
        <v>3</v>
      </c>
      <c r="AV9" t="s">
        <v>5</v>
      </c>
    </row>
    <row r="10" spans="1:48" ht="285" x14ac:dyDescent="0.25">
      <c r="A10" t="s">
        <v>526</v>
      </c>
      <c r="B10" s="68" t="s">
        <v>527</v>
      </c>
      <c r="C10" t="s">
        <v>3</v>
      </c>
      <c r="D10" t="s">
        <v>528</v>
      </c>
      <c r="E10" t="s">
        <v>529</v>
      </c>
      <c r="F10" t="s">
        <v>530</v>
      </c>
      <c r="G10" t="s">
        <v>531</v>
      </c>
      <c r="H10" s="69" t="s">
        <v>532</v>
      </c>
      <c r="I10" t="s">
        <v>116</v>
      </c>
      <c r="J10" t="s">
        <v>158</v>
      </c>
      <c r="K10" t="s">
        <v>169</v>
      </c>
      <c r="L10" t="s">
        <v>533</v>
      </c>
      <c r="M10" t="s">
        <v>3</v>
      </c>
      <c r="N10" t="s">
        <v>534</v>
      </c>
      <c r="O10" t="s">
        <v>135</v>
      </c>
      <c r="P10" t="s">
        <v>535</v>
      </c>
      <c r="Q10" t="s">
        <v>533</v>
      </c>
      <c r="R10" t="s">
        <v>3</v>
      </c>
      <c r="S10" t="s">
        <v>534</v>
      </c>
      <c r="T10" t="s">
        <v>135</v>
      </c>
      <c r="U10" t="s">
        <v>535</v>
      </c>
      <c r="V10" t="s">
        <v>536</v>
      </c>
      <c r="W10" t="s">
        <v>537</v>
      </c>
      <c r="X10" t="s">
        <v>3</v>
      </c>
      <c r="Y10" t="s">
        <v>3</v>
      </c>
      <c r="Z10" t="s">
        <v>538</v>
      </c>
      <c r="AA10" t="s">
        <v>276</v>
      </c>
      <c r="AB10" t="s">
        <v>539</v>
      </c>
      <c r="AC10" t="s">
        <v>540</v>
      </c>
      <c r="AD10" t="s">
        <v>3</v>
      </c>
      <c r="AE10" t="s">
        <v>541</v>
      </c>
      <c r="AF10" t="s">
        <v>542</v>
      </c>
      <c r="AG10" t="s">
        <v>279</v>
      </c>
      <c r="AH10" t="s">
        <v>306</v>
      </c>
      <c r="AI10" t="s">
        <v>543</v>
      </c>
      <c r="AJ10" s="67" t="s">
        <v>544</v>
      </c>
      <c r="AK10" t="s">
        <v>545</v>
      </c>
      <c r="AL10" t="s">
        <v>179</v>
      </c>
      <c r="AM10" t="s">
        <v>355</v>
      </c>
      <c r="AN10" t="s">
        <v>546</v>
      </c>
      <c r="AO10" s="67" t="s">
        <v>547</v>
      </c>
      <c r="AP10" t="s">
        <v>548</v>
      </c>
      <c r="AQ10" t="s">
        <v>177</v>
      </c>
      <c r="AR10" t="s">
        <v>306</v>
      </c>
      <c r="AS10" t="s">
        <v>549</v>
      </c>
      <c r="AT10" t="s">
        <v>550</v>
      </c>
      <c r="AU10" t="s">
        <v>3</v>
      </c>
      <c r="AV10" t="s">
        <v>5</v>
      </c>
    </row>
    <row r="11" spans="1:48" ht="90" x14ac:dyDescent="0.25">
      <c r="A11" t="s">
        <v>551</v>
      </c>
      <c r="B11" s="68" t="s">
        <v>552</v>
      </c>
      <c r="C11" t="s">
        <v>553</v>
      </c>
      <c r="D11" t="s">
        <v>554</v>
      </c>
      <c r="E11" t="s">
        <v>555</v>
      </c>
      <c r="F11" t="s">
        <v>556</v>
      </c>
      <c r="G11" t="s">
        <v>557</v>
      </c>
      <c r="H11" s="67" t="s">
        <v>558</v>
      </c>
      <c r="I11" t="s">
        <v>116</v>
      </c>
      <c r="J11" t="s">
        <v>186</v>
      </c>
      <c r="K11" t="s">
        <v>115</v>
      </c>
      <c r="L11" t="s">
        <v>559</v>
      </c>
      <c r="M11" t="s">
        <v>3</v>
      </c>
      <c r="N11" t="s">
        <v>131</v>
      </c>
      <c r="O11" t="s">
        <v>108</v>
      </c>
      <c r="P11" t="s">
        <v>300</v>
      </c>
      <c r="Q11" t="s">
        <v>559</v>
      </c>
      <c r="R11" t="s">
        <v>560</v>
      </c>
      <c r="S11" t="s">
        <v>131</v>
      </c>
      <c r="T11" t="s">
        <v>108</v>
      </c>
      <c r="U11" t="s">
        <v>300</v>
      </c>
      <c r="V11" t="s">
        <v>561</v>
      </c>
      <c r="W11" t="s">
        <v>454</v>
      </c>
      <c r="X11" t="s">
        <v>3</v>
      </c>
      <c r="Y11" t="s">
        <v>3</v>
      </c>
      <c r="Z11" t="s">
        <v>124</v>
      </c>
      <c r="AA11" t="s">
        <v>113</v>
      </c>
      <c r="AB11" t="s">
        <v>123</v>
      </c>
      <c r="AC11" t="s">
        <v>122</v>
      </c>
      <c r="AD11" t="s">
        <v>3</v>
      </c>
      <c r="AE11" t="s">
        <v>562</v>
      </c>
      <c r="AF11" t="s">
        <v>563</v>
      </c>
      <c r="AG11" t="s">
        <v>117</v>
      </c>
      <c r="AH11" t="s">
        <v>149</v>
      </c>
      <c r="AI11" t="s">
        <v>564</v>
      </c>
      <c r="AJ11" s="67" t="s">
        <v>565</v>
      </c>
      <c r="AK11" t="s">
        <v>566</v>
      </c>
      <c r="AL11" t="s">
        <v>106</v>
      </c>
      <c r="AM11" t="s">
        <v>48</v>
      </c>
      <c r="AN11" t="s">
        <v>567</v>
      </c>
      <c r="AO11" s="67" t="s">
        <v>568</v>
      </c>
      <c r="AP11" t="s">
        <v>569</v>
      </c>
      <c r="AQ11" t="s">
        <v>383</v>
      </c>
      <c r="AR11" t="s">
        <v>48</v>
      </c>
      <c r="AS11" t="s">
        <v>570</v>
      </c>
      <c r="AT11" t="s">
        <v>571</v>
      </c>
      <c r="AU11" t="s">
        <v>3</v>
      </c>
      <c r="AV11" t="s">
        <v>5</v>
      </c>
    </row>
    <row r="12" spans="1:48" ht="409.5" x14ac:dyDescent="0.25">
      <c r="A12" t="s">
        <v>222</v>
      </c>
      <c r="B12" s="68" t="s">
        <v>221</v>
      </c>
      <c r="C12" t="s">
        <v>3</v>
      </c>
      <c r="D12" t="s">
        <v>220</v>
      </c>
      <c r="E12" t="s">
        <v>219</v>
      </c>
      <c r="F12" t="s">
        <v>218</v>
      </c>
      <c r="G12" t="s">
        <v>217</v>
      </c>
      <c r="H12" s="67" t="s">
        <v>216</v>
      </c>
      <c r="I12" t="s">
        <v>116</v>
      </c>
      <c r="J12" t="s">
        <v>215</v>
      </c>
      <c r="K12" t="s">
        <v>115</v>
      </c>
      <c r="L12" t="s">
        <v>214</v>
      </c>
      <c r="M12" t="s">
        <v>3</v>
      </c>
      <c r="N12" t="s">
        <v>108</v>
      </c>
      <c r="O12" t="s">
        <v>108</v>
      </c>
      <c r="P12" t="s">
        <v>212</v>
      </c>
      <c r="Q12" t="s">
        <v>214</v>
      </c>
      <c r="R12" t="s">
        <v>213</v>
      </c>
      <c r="S12" t="s">
        <v>108</v>
      </c>
      <c r="T12" t="s">
        <v>108</v>
      </c>
      <c r="U12" t="s">
        <v>212</v>
      </c>
      <c r="V12" t="s">
        <v>211</v>
      </c>
      <c r="W12" t="s">
        <v>210</v>
      </c>
      <c r="X12" t="s">
        <v>3</v>
      </c>
      <c r="Y12" t="s">
        <v>3</v>
      </c>
      <c r="Z12" t="s">
        <v>209</v>
      </c>
      <c r="AA12" t="s">
        <v>163</v>
      </c>
      <c r="AB12" t="s">
        <v>208</v>
      </c>
      <c r="AC12" t="s">
        <v>207</v>
      </c>
      <c r="AD12" t="s">
        <v>3</v>
      </c>
      <c r="AE12" t="s">
        <v>206</v>
      </c>
      <c r="AF12" t="s">
        <v>341</v>
      </c>
      <c r="AG12" t="s">
        <v>342</v>
      </c>
      <c r="AH12" t="s">
        <v>48</v>
      </c>
      <c r="AI12" t="s">
        <v>343</v>
      </c>
      <c r="AJ12" s="67" t="s">
        <v>344</v>
      </c>
      <c r="AK12" t="s">
        <v>345</v>
      </c>
      <c r="AL12" t="s">
        <v>346</v>
      </c>
      <c r="AM12" t="s">
        <v>48</v>
      </c>
      <c r="AN12" t="s">
        <v>347</v>
      </c>
      <c r="AO12" s="67" t="s">
        <v>348</v>
      </c>
      <c r="AP12" t="s">
        <v>341</v>
      </c>
      <c r="AQ12" t="s">
        <v>349</v>
      </c>
      <c r="AR12" t="s">
        <v>48</v>
      </c>
      <c r="AS12" t="s">
        <v>350</v>
      </c>
      <c r="AT12" t="s">
        <v>351</v>
      </c>
      <c r="AU12" t="s">
        <v>3</v>
      </c>
      <c r="AV12" t="s">
        <v>5</v>
      </c>
    </row>
    <row r="13" spans="1:48" ht="45" x14ac:dyDescent="0.25">
      <c r="A13" t="s">
        <v>572</v>
      </c>
      <c r="B13" s="68" t="s">
        <v>573</v>
      </c>
      <c r="C13" t="s">
        <v>3</v>
      </c>
      <c r="D13" t="s">
        <v>574</v>
      </c>
      <c r="E13" t="s">
        <v>575</v>
      </c>
      <c r="F13" t="s">
        <v>576</v>
      </c>
      <c r="G13" t="s">
        <v>577</v>
      </c>
      <c r="H13" s="67" t="s">
        <v>578</v>
      </c>
      <c r="I13" t="s">
        <v>116</v>
      </c>
      <c r="J13" t="s">
        <v>189</v>
      </c>
      <c r="K13" t="s">
        <v>115</v>
      </c>
      <c r="L13" t="s">
        <v>579</v>
      </c>
      <c r="M13" t="s">
        <v>3</v>
      </c>
      <c r="N13" t="s">
        <v>294</v>
      </c>
      <c r="O13" t="s">
        <v>108</v>
      </c>
      <c r="P13" t="s">
        <v>293</v>
      </c>
      <c r="Q13" t="s">
        <v>579</v>
      </c>
      <c r="R13" t="s">
        <v>3</v>
      </c>
      <c r="S13" t="s">
        <v>294</v>
      </c>
      <c r="T13" t="s">
        <v>108</v>
      </c>
      <c r="U13" t="s">
        <v>293</v>
      </c>
      <c r="V13" t="s">
        <v>580</v>
      </c>
      <c r="W13" t="s">
        <v>581</v>
      </c>
      <c r="X13" t="s">
        <v>3</v>
      </c>
      <c r="Y13" t="s">
        <v>3</v>
      </c>
      <c r="Z13" t="s">
        <v>582</v>
      </c>
      <c r="AA13" t="s">
        <v>183</v>
      </c>
      <c r="AB13" t="s">
        <v>583</v>
      </c>
      <c r="AC13" t="s">
        <v>584</v>
      </c>
      <c r="AD13" t="s">
        <v>585</v>
      </c>
      <c r="AE13" t="s">
        <v>586</v>
      </c>
      <c r="AF13" t="s">
        <v>587</v>
      </c>
      <c r="AG13" t="s">
        <v>456</v>
      </c>
      <c r="AH13" t="s">
        <v>48</v>
      </c>
      <c r="AI13" t="s">
        <v>352</v>
      </c>
      <c r="AJ13" s="67" t="s">
        <v>588</v>
      </c>
      <c r="AK13" t="s">
        <v>589</v>
      </c>
      <c r="AL13" t="s">
        <v>156</v>
      </c>
      <c r="AM13" t="s">
        <v>48</v>
      </c>
      <c r="AN13" t="s">
        <v>479</v>
      </c>
      <c r="AO13" s="67" t="s">
        <v>590</v>
      </c>
      <c r="AP13" t="s">
        <v>589</v>
      </c>
      <c r="AQ13" t="s">
        <v>156</v>
      </c>
      <c r="AR13" t="s">
        <v>48</v>
      </c>
      <c r="AS13" t="s">
        <v>361</v>
      </c>
      <c r="AT13" t="s">
        <v>591</v>
      </c>
      <c r="AU13" t="s">
        <v>592</v>
      </c>
      <c r="AV13" t="s">
        <v>5</v>
      </c>
    </row>
    <row r="14" spans="1:48" ht="405" x14ac:dyDescent="0.25">
      <c r="A14" t="s">
        <v>593</v>
      </c>
      <c r="B14" s="68" t="s">
        <v>594</v>
      </c>
      <c r="C14" t="s">
        <v>3</v>
      </c>
      <c r="D14" t="s">
        <v>595</v>
      </c>
      <c r="E14" t="s">
        <v>596</v>
      </c>
      <c r="F14" t="s">
        <v>597</v>
      </c>
      <c r="G14" t="s">
        <v>598</v>
      </c>
      <c r="H14" s="67" t="s">
        <v>599</v>
      </c>
      <c r="I14" t="s">
        <v>116</v>
      </c>
      <c r="J14" t="s">
        <v>136</v>
      </c>
      <c r="K14" t="s">
        <v>109</v>
      </c>
      <c r="L14" t="s">
        <v>600</v>
      </c>
      <c r="M14" t="s">
        <v>3</v>
      </c>
      <c r="N14" t="s">
        <v>151</v>
      </c>
      <c r="O14" t="s">
        <v>108</v>
      </c>
      <c r="P14" t="s">
        <v>168</v>
      </c>
      <c r="Q14" t="s">
        <v>600</v>
      </c>
      <c r="R14" t="s">
        <v>3</v>
      </c>
      <c r="S14" t="s">
        <v>151</v>
      </c>
      <c r="T14" t="s">
        <v>108</v>
      </c>
      <c r="U14" t="s">
        <v>168</v>
      </c>
      <c r="V14" t="s">
        <v>601</v>
      </c>
      <c r="W14" t="s">
        <v>602</v>
      </c>
      <c r="X14" t="s">
        <v>3</v>
      </c>
      <c r="Y14" t="s">
        <v>3</v>
      </c>
      <c r="Z14" t="s">
        <v>134</v>
      </c>
      <c r="AA14" t="s">
        <v>113</v>
      </c>
      <c r="AB14" t="s">
        <v>133</v>
      </c>
      <c r="AC14" t="s">
        <v>132</v>
      </c>
      <c r="AD14" t="s">
        <v>3</v>
      </c>
      <c r="AE14" t="s">
        <v>603</v>
      </c>
      <c r="AF14" t="s">
        <v>604</v>
      </c>
      <c r="AG14" t="s">
        <v>605</v>
      </c>
      <c r="AH14" t="s">
        <v>48</v>
      </c>
      <c r="AI14" t="s">
        <v>606</v>
      </c>
      <c r="AJ14" s="67" t="s">
        <v>607</v>
      </c>
      <c r="AK14" t="s">
        <v>608</v>
      </c>
      <c r="AL14" t="s">
        <v>609</v>
      </c>
      <c r="AM14" t="s">
        <v>48</v>
      </c>
      <c r="AN14" t="s">
        <v>610</v>
      </c>
      <c r="AO14" s="67" t="s">
        <v>611</v>
      </c>
      <c r="AP14" t="s">
        <v>612</v>
      </c>
      <c r="AQ14" t="s">
        <v>613</v>
      </c>
      <c r="AR14" t="s">
        <v>48</v>
      </c>
      <c r="AS14" t="s">
        <v>614</v>
      </c>
      <c r="AT14" t="s">
        <v>615</v>
      </c>
      <c r="AU14" t="s">
        <v>3</v>
      </c>
      <c r="AV14" t="s">
        <v>5</v>
      </c>
    </row>
    <row r="15" spans="1:48" ht="270" x14ac:dyDescent="0.25">
      <c r="A15" t="s">
        <v>616</v>
      </c>
      <c r="B15" s="72" t="s">
        <v>617</v>
      </c>
      <c r="C15" t="s">
        <v>3</v>
      </c>
      <c r="D15" t="s">
        <v>618</v>
      </c>
      <c r="E15" t="s">
        <v>619</v>
      </c>
      <c r="F15" t="s">
        <v>620</v>
      </c>
      <c r="G15" t="s">
        <v>621</v>
      </c>
      <c r="H15" s="71" t="s">
        <v>622</v>
      </c>
      <c r="I15" t="s">
        <v>116</v>
      </c>
      <c r="J15" t="s">
        <v>141</v>
      </c>
      <c r="K15" t="s">
        <v>169</v>
      </c>
      <c r="L15" t="s">
        <v>623</v>
      </c>
      <c r="M15" t="s">
        <v>3</v>
      </c>
      <c r="N15" t="s">
        <v>624</v>
      </c>
      <c r="O15" t="s">
        <v>135</v>
      </c>
      <c r="P15" t="s">
        <v>625</v>
      </c>
      <c r="Q15" t="s">
        <v>626</v>
      </c>
      <c r="R15" t="s">
        <v>3</v>
      </c>
      <c r="S15" t="s">
        <v>627</v>
      </c>
      <c r="T15" t="s">
        <v>108</v>
      </c>
      <c r="U15" t="s">
        <v>628</v>
      </c>
      <c r="V15" t="s">
        <v>629</v>
      </c>
      <c r="W15" t="s">
        <v>630</v>
      </c>
      <c r="X15" t="s">
        <v>3</v>
      </c>
      <c r="Y15" t="s">
        <v>3</v>
      </c>
      <c r="Z15" t="s">
        <v>124</v>
      </c>
      <c r="AA15" t="s">
        <v>113</v>
      </c>
      <c r="AB15" t="s">
        <v>123</v>
      </c>
      <c r="AC15" t="s">
        <v>122</v>
      </c>
      <c r="AD15" t="s">
        <v>3</v>
      </c>
      <c r="AE15" t="s">
        <v>631</v>
      </c>
      <c r="AF15" t="s">
        <v>632</v>
      </c>
      <c r="AG15" t="s">
        <v>481</v>
      </c>
      <c r="AH15" t="s">
        <v>48</v>
      </c>
      <c r="AI15" t="s">
        <v>361</v>
      </c>
      <c r="AJ15" s="67" t="s">
        <v>633</v>
      </c>
      <c r="AK15" t="s">
        <v>634</v>
      </c>
      <c r="AL15" t="s">
        <v>635</v>
      </c>
      <c r="AM15" t="s">
        <v>149</v>
      </c>
      <c r="AN15" t="s">
        <v>636</v>
      </c>
      <c r="AO15" s="67" t="s">
        <v>637</v>
      </c>
      <c r="AP15" t="s">
        <v>638</v>
      </c>
      <c r="AQ15" t="s">
        <v>639</v>
      </c>
      <c r="AR15" t="s">
        <v>184</v>
      </c>
      <c r="AS15" t="s">
        <v>640</v>
      </c>
      <c r="AT15" t="s">
        <v>641</v>
      </c>
      <c r="AU15" t="s">
        <v>642</v>
      </c>
      <c r="AV15" t="s">
        <v>5</v>
      </c>
    </row>
    <row r="16" spans="1:48" ht="30" x14ac:dyDescent="0.25">
      <c r="A16" t="s">
        <v>643</v>
      </c>
      <c r="B16" s="72" t="s">
        <v>644</v>
      </c>
      <c r="C16" t="s">
        <v>3</v>
      </c>
      <c r="D16" t="s">
        <v>430</v>
      </c>
      <c r="E16" t="s">
        <v>645</v>
      </c>
      <c r="F16" t="s">
        <v>646</v>
      </c>
      <c r="G16" t="s">
        <v>647</v>
      </c>
      <c r="H16" s="71" t="s">
        <v>648</v>
      </c>
      <c r="I16" t="s">
        <v>52</v>
      </c>
      <c r="J16" t="s">
        <v>148</v>
      </c>
      <c r="K16" t="s">
        <v>51</v>
      </c>
      <c r="L16" t="s">
        <v>414</v>
      </c>
      <c r="M16" t="s">
        <v>3</v>
      </c>
      <c r="N16" t="s">
        <v>108</v>
      </c>
      <c r="O16" t="s">
        <v>108</v>
      </c>
      <c r="P16" t="s">
        <v>129</v>
      </c>
      <c r="Q16" t="s">
        <v>414</v>
      </c>
      <c r="R16" t="s">
        <v>649</v>
      </c>
      <c r="S16" t="s">
        <v>108</v>
      </c>
      <c r="T16" t="s">
        <v>108</v>
      </c>
      <c r="U16" t="s">
        <v>129</v>
      </c>
      <c r="V16" t="s">
        <v>650</v>
      </c>
      <c r="W16" t="s">
        <v>651</v>
      </c>
      <c r="X16" t="s">
        <v>3</v>
      </c>
      <c r="Y16" t="s">
        <v>3</v>
      </c>
      <c r="Z16" t="s">
        <v>124</v>
      </c>
      <c r="AA16" t="s">
        <v>113</v>
      </c>
      <c r="AB16" t="s">
        <v>123</v>
      </c>
      <c r="AC16" t="s">
        <v>122</v>
      </c>
      <c r="AD16" t="s">
        <v>3</v>
      </c>
      <c r="AE16" t="s">
        <v>652</v>
      </c>
      <c r="AF16" t="s">
        <v>634</v>
      </c>
      <c r="AG16" t="s">
        <v>269</v>
      </c>
      <c r="AH16" t="s">
        <v>48</v>
      </c>
      <c r="AI16" t="s">
        <v>653</v>
      </c>
      <c r="AJ16" s="67" t="s">
        <v>654</v>
      </c>
      <c r="AK16" t="s">
        <v>655</v>
      </c>
      <c r="AL16" t="s">
        <v>656</v>
      </c>
      <c r="AM16" t="s">
        <v>48</v>
      </c>
      <c r="AN16" t="s">
        <v>288</v>
      </c>
      <c r="AO16" s="67" t="s">
        <v>657</v>
      </c>
      <c r="AP16" t="s">
        <v>658</v>
      </c>
      <c r="AQ16" t="s">
        <v>659</v>
      </c>
      <c r="AR16" t="s">
        <v>48</v>
      </c>
      <c r="AS16" t="s">
        <v>314</v>
      </c>
      <c r="AT16" t="s">
        <v>660</v>
      </c>
      <c r="AU16" t="s">
        <v>3</v>
      </c>
      <c r="AV16" t="s">
        <v>5</v>
      </c>
    </row>
    <row r="17" spans="1:48" ht="30" x14ac:dyDescent="0.25">
      <c r="A17" t="s">
        <v>661</v>
      </c>
      <c r="B17" s="72" t="s">
        <v>662</v>
      </c>
      <c r="C17" t="s">
        <v>3</v>
      </c>
      <c r="D17" t="s">
        <v>480</v>
      </c>
      <c r="E17" t="s">
        <v>663</v>
      </c>
      <c r="F17" t="s">
        <v>664</v>
      </c>
      <c r="G17" t="s">
        <v>665</v>
      </c>
      <c r="H17" s="71" t="s">
        <v>666</v>
      </c>
      <c r="I17" t="s">
        <v>116</v>
      </c>
      <c r="J17" t="s">
        <v>201</v>
      </c>
      <c r="K17" t="s">
        <v>169</v>
      </c>
      <c r="L17" t="s">
        <v>667</v>
      </c>
      <c r="M17" t="s">
        <v>3</v>
      </c>
      <c r="N17" t="s">
        <v>668</v>
      </c>
      <c r="O17" t="s">
        <v>135</v>
      </c>
      <c r="P17" t="s">
        <v>669</v>
      </c>
      <c r="Q17" t="s">
        <v>667</v>
      </c>
      <c r="R17" t="s">
        <v>670</v>
      </c>
      <c r="S17" t="s">
        <v>668</v>
      </c>
      <c r="T17" t="s">
        <v>135</v>
      </c>
      <c r="U17" t="s">
        <v>669</v>
      </c>
      <c r="V17" t="s">
        <v>671</v>
      </c>
      <c r="W17" t="s">
        <v>3</v>
      </c>
      <c r="X17" t="s">
        <v>3</v>
      </c>
      <c r="Y17" t="s">
        <v>3</v>
      </c>
      <c r="Z17" t="s">
        <v>277</v>
      </c>
      <c r="AA17" t="s">
        <v>276</v>
      </c>
      <c r="AB17" t="s">
        <v>275</v>
      </c>
      <c r="AC17" t="s">
        <v>275</v>
      </c>
      <c r="AD17" t="s">
        <v>3</v>
      </c>
      <c r="AE17" t="s">
        <v>672</v>
      </c>
      <c r="AF17" t="s">
        <v>3</v>
      </c>
      <c r="AG17" t="s">
        <v>3</v>
      </c>
      <c r="AH17" t="s">
        <v>3</v>
      </c>
      <c r="AI17" t="s">
        <v>3</v>
      </c>
      <c r="AJ17" s="67" t="s">
        <v>3</v>
      </c>
      <c r="AK17" t="s">
        <v>3</v>
      </c>
      <c r="AL17" t="s">
        <v>3</v>
      </c>
      <c r="AM17" t="s">
        <v>3</v>
      </c>
      <c r="AN17" t="s">
        <v>3</v>
      </c>
      <c r="AO17" s="67" t="s">
        <v>3</v>
      </c>
      <c r="AP17" t="s">
        <v>3</v>
      </c>
      <c r="AQ17" t="s">
        <v>3</v>
      </c>
      <c r="AR17" t="s">
        <v>3</v>
      </c>
      <c r="AS17" t="s">
        <v>3</v>
      </c>
      <c r="AT17" t="s">
        <v>3</v>
      </c>
      <c r="AU17" t="s">
        <v>3</v>
      </c>
      <c r="AV17" t="s">
        <v>5</v>
      </c>
    </row>
    <row r="18" spans="1:48" ht="60" x14ac:dyDescent="0.25">
      <c r="A18" t="s">
        <v>673</v>
      </c>
      <c r="B18" s="72" t="s">
        <v>674</v>
      </c>
      <c r="C18" t="s">
        <v>3</v>
      </c>
      <c r="D18" t="s">
        <v>675</v>
      </c>
      <c r="E18" t="s">
        <v>676</v>
      </c>
      <c r="F18" t="s">
        <v>677</v>
      </c>
      <c r="G18" t="s">
        <v>678</v>
      </c>
      <c r="H18" s="71" t="s">
        <v>679</v>
      </c>
      <c r="I18" t="s">
        <v>111</v>
      </c>
      <c r="J18" t="s">
        <v>680</v>
      </c>
      <c r="K18" t="s">
        <v>115</v>
      </c>
      <c r="L18" t="s">
        <v>681</v>
      </c>
      <c r="M18" t="s">
        <v>3</v>
      </c>
      <c r="N18" t="s">
        <v>682</v>
      </c>
      <c r="O18" t="s">
        <v>135</v>
      </c>
      <c r="P18" t="s">
        <v>683</v>
      </c>
      <c r="Q18" t="s">
        <v>681</v>
      </c>
      <c r="R18" t="s">
        <v>684</v>
      </c>
      <c r="S18" t="s">
        <v>682</v>
      </c>
      <c r="T18" t="s">
        <v>135</v>
      </c>
      <c r="U18" t="s">
        <v>683</v>
      </c>
      <c r="V18" t="s">
        <v>685</v>
      </c>
      <c r="W18" t="s">
        <v>686</v>
      </c>
      <c r="X18" t="s">
        <v>3</v>
      </c>
      <c r="Y18" t="s">
        <v>3</v>
      </c>
      <c r="Z18" t="s">
        <v>687</v>
      </c>
      <c r="AA18" t="s">
        <v>113</v>
      </c>
      <c r="AB18" t="s">
        <v>123</v>
      </c>
      <c r="AC18" t="s">
        <v>688</v>
      </c>
      <c r="AD18" t="s">
        <v>3</v>
      </c>
      <c r="AE18" t="s">
        <v>689</v>
      </c>
      <c r="AF18" t="s">
        <v>690</v>
      </c>
      <c r="AG18" t="s">
        <v>691</v>
      </c>
      <c r="AH18" t="s">
        <v>317</v>
      </c>
      <c r="AI18" t="s">
        <v>339</v>
      </c>
      <c r="AJ18" s="67" t="s">
        <v>692</v>
      </c>
      <c r="AK18" t="s">
        <v>693</v>
      </c>
      <c r="AL18" t="s">
        <v>279</v>
      </c>
      <c r="AM18" t="s">
        <v>317</v>
      </c>
      <c r="AN18" t="s">
        <v>694</v>
      </c>
      <c r="AO18" s="67" t="s">
        <v>695</v>
      </c>
      <c r="AP18" t="s">
        <v>696</v>
      </c>
      <c r="AQ18" t="s">
        <v>155</v>
      </c>
      <c r="AR18" t="s">
        <v>48</v>
      </c>
      <c r="AS18" t="s">
        <v>431</v>
      </c>
      <c r="AT18" t="s">
        <v>697</v>
      </c>
      <c r="AU18" t="s">
        <v>3</v>
      </c>
      <c r="AV18" t="s">
        <v>5</v>
      </c>
    </row>
    <row r="19" spans="1:48" ht="105" x14ac:dyDescent="0.25">
      <c r="A19" t="s">
        <v>698</v>
      </c>
      <c r="B19" s="72" t="s">
        <v>699</v>
      </c>
      <c r="C19" t="s">
        <v>3</v>
      </c>
      <c r="D19" t="s">
        <v>167</v>
      </c>
      <c r="E19" t="s">
        <v>700</v>
      </c>
      <c r="F19" t="s">
        <v>701</v>
      </c>
      <c r="G19" t="s">
        <v>702</v>
      </c>
      <c r="H19" s="71" t="s">
        <v>703</v>
      </c>
      <c r="I19" t="s">
        <v>116</v>
      </c>
      <c r="J19" t="s">
        <v>148</v>
      </c>
      <c r="K19" t="s">
        <v>109</v>
      </c>
      <c r="L19" t="s">
        <v>704</v>
      </c>
      <c r="M19" t="s">
        <v>3</v>
      </c>
      <c r="N19" t="s">
        <v>705</v>
      </c>
      <c r="O19" t="s">
        <v>234</v>
      </c>
      <c r="P19" t="s">
        <v>706</v>
      </c>
      <c r="Q19" t="s">
        <v>704</v>
      </c>
      <c r="R19" t="s">
        <v>3</v>
      </c>
      <c r="S19" t="s">
        <v>705</v>
      </c>
      <c r="T19" t="s">
        <v>234</v>
      </c>
      <c r="U19" t="s">
        <v>706</v>
      </c>
      <c r="V19" t="s">
        <v>707</v>
      </c>
      <c r="W19" t="s">
        <v>708</v>
      </c>
      <c r="X19" t="s">
        <v>3</v>
      </c>
      <c r="Y19" t="s">
        <v>3</v>
      </c>
      <c r="Z19" t="s">
        <v>709</v>
      </c>
      <c r="AA19" t="s">
        <v>113</v>
      </c>
      <c r="AB19" t="s">
        <v>112</v>
      </c>
      <c r="AC19" t="s">
        <v>710</v>
      </c>
      <c r="AD19" t="s">
        <v>3</v>
      </c>
      <c r="AE19" t="s">
        <v>711</v>
      </c>
      <c r="AF19" t="s">
        <v>712</v>
      </c>
      <c r="AG19" t="s">
        <v>713</v>
      </c>
      <c r="AH19" t="s">
        <v>48</v>
      </c>
      <c r="AI19" t="s">
        <v>714</v>
      </c>
      <c r="AJ19" s="67" t="s">
        <v>715</v>
      </c>
      <c r="AK19" t="s">
        <v>712</v>
      </c>
      <c r="AL19" t="s">
        <v>716</v>
      </c>
      <c r="AM19" t="s">
        <v>48</v>
      </c>
      <c r="AN19" t="s">
        <v>717</v>
      </c>
      <c r="AO19" s="67" t="s">
        <v>718</v>
      </c>
      <c r="AP19" t="s">
        <v>719</v>
      </c>
      <c r="AQ19" t="s">
        <v>720</v>
      </c>
      <c r="AR19" t="s">
        <v>48</v>
      </c>
      <c r="AS19" t="s">
        <v>721</v>
      </c>
      <c r="AT19" t="s">
        <v>722</v>
      </c>
      <c r="AU19" t="s">
        <v>3</v>
      </c>
      <c r="AV19" t="s">
        <v>5</v>
      </c>
    </row>
    <row r="20" spans="1:48" x14ac:dyDescent="0.25">
      <c r="B20" s="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898A-371E-4A3F-B906-0FD4429AFB60}">
  <dimension ref="A1:AV43"/>
  <sheetViews>
    <sheetView topLeftCell="G41" workbookViewId="0">
      <selection activeCell="H9" sqref="H9"/>
    </sheetView>
  </sheetViews>
  <sheetFormatPr defaultRowHeight="15" x14ac:dyDescent="0.25"/>
  <cols>
    <col min="1" max="1" width="17.7109375" bestFit="1" customWidth="1"/>
    <col min="2" max="2" width="47.42578125" style="68" bestFit="1" customWidth="1"/>
    <col min="3" max="3" width="21.7109375" bestFit="1" customWidth="1"/>
    <col min="4" max="4" width="10.28515625" customWidth="1"/>
    <col min="5" max="5" width="15" bestFit="1" customWidth="1"/>
    <col min="6" max="6" width="12.42578125" bestFit="1" customWidth="1"/>
    <col min="7" max="7" width="38.140625" bestFit="1" customWidth="1"/>
    <col min="8" max="8" width="78.42578125" style="67" customWidth="1"/>
    <col min="10" max="25" width="10.28515625" customWidth="1"/>
    <col min="30" max="30" width="10.28515625" customWidth="1"/>
    <col min="32" max="35" width="10.28515625" customWidth="1"/>
    <col min="36" max="36" width="80.42578125" customWidth="1"/>
    <col min="37" max="37" width="47.5703125" bestFit="1" customWidth="1"/>
    <col min="38" max="38" width="31.7109375" customWidth="1"/>
    <col min="39" max="47" width="10.28515625" customWidth="1"/>
  </cols>
  <sheetData>
    <row r="1" spans="1:48" x14ac:dyDescent="0.25">
      <c r="A1" t="s">
        <v>105</v>
      </c>
      <c r="B1" s="68" t="s">
        <v>489</v>
      </c>
    </row>
    <row r="2" spans="1:48" x14ac:dyDescent="0.25">
      <c r="A2" t="s">
        <v>104</v>
      </c>
      <c r="B2" s="68">
        <v>36</v>
      </c>
    </row>
    <row r="3" spans="1:48" x14ac:dyDescent="0.25">
      <c r="A3" t="s">
        <v>103</v>
      </c>
    </row>
    <row r="4" spans="1:48" ht="15.75" x14ac:dyDescent="0.25">
      <c r="A4" t="s">
        <v>490</v>
      </c>
      <c r="B4" s="70" t="s">
        <v>723</v>
      </c>
    </row>
    <row r="5" spans="1:48" x14ac:dyDescent="0.25">
      <c r="A5" t="s">
        <v>102</v>
      </c>
      <c r="B5" s="68" t="s">
        <v>101</v>
      </c>
    </row>
    <row r="6" spans="1:48" x14ac:dyDescent="0.25">
      <c r="A6" t="s">
        <v>3</v>
      </c>
      <c r="B6" s="68" t="s">
        <v>3</v>
      </c>
      <c r="C6" t="s">
        <v>3</v>
      </c>
      <c r="D6" t="s">
        <v>3</v>
      </c>
    </row>
    <row r="7" spans="1:48" x14ac:dyDescent="0.25">
      <c r="A7" t="s">
        <v>100</v>
      </c>
      <c r="B7" s="68" t="s">
        <v>99</v>
      </c>
      <c r="C7" t="s">
        <v>98</v>
      </c>
      <c r="D7" t="s">
        <v>97</v>
      </c>
      <c r="E7" t="s">
        <v>96</v>
      </c>
      <c r="F7" t="s">
        <v>95</v>
      </c>
      <c r="G7" t="s">
        <v>94</v>
      </c>
      <c r="H7" s="67" t="s">
        <v>93</v>
      </c>
      <c r="I7" t="s">
        <v>92</v>
      </c>
      <c r="J7" t="s">
        <v>91</v>
      </c>
      <c r="K7" t="s">
        <v>90</v>
      </c>
      <c r="L7" t="s">
        <v>89</v>
      </c>
      <c r="M7" t="s">
        <v>88</v>
      </c>
      <c r="N7" t="s">
        <v>87</v>
      </c>
      <c r="O7" t="s">
        <v>86</v>
      </c>
      <c r="P7" t="s">
        <v>85</v>
      </c>
      <c r="Q7" t="s">
        <v>84</v>
      </c>
      <c r="R7" t="s">
        <v>83</v>
      </c>
      <c r="S7" t="s">
        <v>82</v>
      </c>
      <c r="T7" t="s">
        <v>81</v>
      </c>
      <c r="U7" t="s">
        <v>80</v>
      </c>
      <c r="V7" t="s">
        <v>79</v>
      </c>
      <c r="W7" t="s">
        <v>78</v>
      </c>
      <c r="X7" t="s">
        <v>77</v>
      </c>
      <c r="Y7" t="s">
        <v>76</v>
      </c>
      <c r="Z7" t="s">
        <v>75</v>
      </c>
      <c r="AA7" t="s">
        <v>74</v>
      </c>
      <c r="AB7" t="s">
        <v>73</v>
      </c>
      <c r="AC7" t="s">
        <v>72</v>
      </c>
      <c r="AD7" t="s">
        <v>71</v>
      </c>
      <c r="AE7" t="s">
        <v>70</v>
      </c>
      <c r="AF7" t="s">
        <v>69</v>
      </c>
      <c r="AG7" t="s">
        <v>68</v>
      </c>
      <c r="AH7" t="s">
        <v>67</v>
      </c>
      <c r="AI7" t="s">
        <v>66</v>
      </c>
      <c r="AJ7" t="s">
        <v>65</v>
      </c>
      <c r="AK7" t="s">
        <v>64</v>
      </c>
      <c r="AL7" t="s">
        <v>63</v>
      </c>
      <c r="AM7" t="s">
        <v>62</v>
      </c>
      <c r="AN7" t="s">
        <v>61</v>
      </c>
      <c r="AO7" t="s">
        <v>60</v>
      </c>
      <c r="AP7" t="s">
        <v>59</v>
      </c>
      <c r="AQ7" t="s">
        <v>58</v>
      </c>
      <c r="AR7" t="s">
        <v>57</v>
      </c>
      <c r="AS7" t="s">
        <v>56</v>
      </c>
      <c r="AT7" t="s">
        <v>55</v>
      </c>
      <c r="AU7" t="s">
        <v>54</v>
      </c>
      <c r="AV7" t="s">
        <v>53</v>
      </c>
    </row>
    <row r="8" spans="1:48" ht="135" x14ac:dyDescent="0.25">
      <c r="A8" t="s">
        <v>826</v>
      </c>
      <c r="B8" s="68" t="s">
        <v>827</v>
      </c>
      <c r="C8" t="s">
        <v>828</v>
      </c>
      <c r="D8" t="s">
        <v>289</v>
      </c>
      <c r="E8" t="s">
        <v>829</v>
      </c>
      <c r="F8" t="s">
        <v>830</v>
      </c>
      <c r="G8" t="s">
        <v>831</v>
      </c>
      <c r="H8" s="67" t="s">
        <v>832</v>
      </c>
      <c r="I8" t="s">
        <v>116</v>
      </c>
      <c r="J8" t="s">
        <v>299</v>
      </c>
      <c r="K8" t="s">
        <v>115</v>
      </c>
      <c r="L8" t="s">
        <v>833</v>
      </c>
      <c r="M8" t="s">
        <v>3</v>
      </c>
      <c r="N8" t="s">
        <v>834</v>
      </c>
      <c r="O8" t="s">
        <v>108</v>
      </c>
      <c r="P8" t="s">
        <v>835</v>
      </c>
      <c r="Q8" t="s">
        <v>833</v>
      </c>
      <c r="R8" t="s">
        <v>223</v>
      </c>
      <c r="S8" t="s">
        <v>834</v>
      </c>
      <c r="T8" t="s">
        <v>108</v>
      </c>
      <c r="U8" t="s">
        <v>835</v>
      </c>
      <c r="V8" t="s">
        <v>836</v>
      </c>
      <c r="W8" t="s">
        <v>837</v>
      </c>
      <c r="X8" t="s">
        <v>3</v>
      </c>
      <c r="Y8" t="s">
        <v>3</v>
      </c>
      <c r="Z8" t="s">
        <v>198</v>
      </c>
      <c r="AA8" t="s">
        <v>139</v>
      </c>
      <c r="AB8" t="s">
        <v>138</v>
      </c>
      <c r="AC8" t="s">
        <v>197</v>
      </c>
      <c r="AD8" t="s">
        <v>3</v>
      </c>
      <c r="AE8" t="s">
        <v>838</v>
      </c>
      <c r="AF8" t="s">
        <v>839</v>
      </c>
      <c r="AG8" t="s">
        <v>840</v>
      </c>
      <c r="AH8" t="s">
        <v>841</v>
      </c>
      <c r="AI8" t="s">
        <v>842</v>
      </c>
      <c r="AJ8" t="s">
        <v>843</v>
      </c>
      <c r="AK8" t="s">
        <v>844</v>
      </c>
      <c r="AL8" t="s">
        <v>845</v>
      </c>
      <c r="AM8" t="s">
        <v>846</v>
      </c>
      <c r="AN8" t="s">
        <v>847</v>
      </c>
      <c r="AO8" t="s">
        <v>848</v>
      </c>
      <c r="AP8" t="s">
        <v>849</v>
      </c>
      <c r="AQ8" t="s">
        <v>850</v>
      </c>
      <c r="AR8" t="s">
        <v>295</v>
      </c>
      <c r="AS8" t="s">
        <v>363</v>
      </c>
      <c r="AT8" t="s">
        <v>851</v>
      </c>
      <c r="AU8" t="s">
        <v>3</v>
      </c>
      <c r="AV8" t="s">
        <v>5</v>
      </c>
    </row>
    <row r="9" spans="1:48" ht="105" x14ac:dyDescent="0.25">
      <c r="A9" t="s">
        <v>386</v>
      </c>
      <c r="B9" s="72" t="s">
        <v>387</v>
      </c>
      <c r="C9" t="s">
        <v>3</v>
      </c>
      <c r="D9" t="s">
        <v>388</v>
      </c>
      <c r="E9" t="s">
        <v>389</v>
      </c>
      <c r="F9" t="s">
        <v>390</v>
      </c>
      <c r="G9" t="s">
        <v>391</v>
      </c>
      <c r="H9" s="71" t="s">
        <v>392</v>
      </c>
      <c r="I9" t="s">
        <v>111</v>
      </c>
      <c r="J9" t="s">
        <v>232</v>
      </c>
      <c r="K9" t="s">
        <v>115</v>
      </c>
      <c r="L9" t="s">
        <v>393</v>
      </c>
      <c r="M9" t="s">
        <v>3</v>
      </c>
      <c r="N9" t="s">
        <v>394</v>
      </c>
      <c r="O9" t="s">
        <v>108</v>
      </c>
      <c r="P9" t="s">
        <v>395</v>
      </c>
      <c r="Q9" t="s">
        <v>393</v>
      </c>
      <c r="R9" t="s">
        <v>3</v>
      </c>
      <c r="S9" t="s">
        <v>394</v>
      </c>
      <c r="T9" t="s">
        <v>108</v>
      </c>
      <c r="U9" t="s">
        <v>395</v>
      </c>
      <c r="V9" t="s">
        <v>396</v>
      </c>
      <c r="W9" t="s">
        <v>3</v>
      </c>
      <c r="X9" t="s">
        <v>3</v>
      </c>
      <c r="Y9" t="s">
        <v>3</v>
      </c>
      <c r="Z9" t="s">
        <v>126</v>
      </c>
      <c r="AA9" t="s">
        <v>113</v>
      </c>
      <c r="AB9" t="s">
        <v>112</v>
      </c>
      <c r="AC9" t="s">
        <v>125</v>
      </c>
      <c r="AD9" t="s">
        <v>3</v>
      </c>
      <c r="AE9" t="s">
        <v>397</v>
      </c>
      <c r="AF9" t="s">
        <v>398</v>
      </c>
      <c r="AG9" t="s">
        <v>399</v>
      </c>
      <c r="AH9" t="s">
        <v>48</v>
      </c>
      <c r="AI9" t="s">
        <v>400</v>
      </c>
      <c r="AJ9" t="s">
        <v>401</v>
      </c>
      <c r="AK9" t="s">
        <v>402</v>
      </c>
      <c r="AL9" t="s">
        <v>316</v>
      </c>
      <c r="AM9" t="s">
        <v>48</v>
      </c>
      <c r="AN9" t="s">
        <v>403</v>
      </c>
      <c r="AO9" t="s">
        <v>404</v>
      </c>
      <c r="AP9" t="s">
        <v>405</v>
      </c>
      <c r="AQ9" t="s">
        <v>119</v>
      </c>
      <c r="AR9" t="s">
        <v>48</v>
      </c>
      <c r="AS9" t="s">
        <v>406</v>
      </c>
      <c r="AT9" t="s">
        <v>407</v>
      </c>
      <c r="AU9" t="s">
        <v>3</v>
      </c>
      <c r="AV9" t="s">
        <v>5</v>
      </c>
    </row>
    <row r="10" spans="1:48" ht="270" x14ac:dyDescent="0.25">
      <c r="A10" t="s">
        <v>852</v>
      </c>
      <c r="B10" s="68" t="s">
        <v>853</v>
      </c>
      <c r="C10" t="s">
        <v>854</v>
      </c>
      <c r="D10" t="s">
        <v>199</v>
      </c>
      <c r="E10" t="s">
        <v>855</v>
      </c>
      <c r="F10" t="s">
        <v>856</v>
      </c>
      <c r="G10" t="s">
        <v>857</v>
      </c>
      <c r="H10" s="67" t="s">
        <v>858</v>
      </c>
      <c r="I10" t="s">
        <v>52</v>
      </c>
      <c r="J10" t="s">
        <v>281</v>
      </c>
      <c r="K10" t="s">
        <v>51</v>
      </c>
      <c r="L10" t="s">
        <v>859</v>
      </c>
      <c r="M10" t="s">
        <v>3</v>
      </c>
      <c r="N10" t="s">
        <v>147</v>
      </c>
      <c r="O10" t="s">
        <v>108</v>
      </c>
      <c r="P10" t="s">
        <v>146</v>
      </c>
      <c r="Q10" t="s">
        <v>859</v>
      </c>
      <c r="R10" t="s">
        <v>3</v>
      </c>
      <c r="S10" t="s">
        <v>147</v>
      </c>
      <c r="T10" t="s">
        <v>108</v>
      </c>
      <c r="U10" t="s">
        <v>146</v>
      </c>
      <c r="V10" t="s">
        <v>3</v>
      </c>
      <c r="W10" t="s">
        <v>860</v>
      </c>
      <c r="X10" t="s">
        <v>3</v>
      </c>
      <c r="Y10" t="s">
        <v>3</v>
      </c>
      <c r="Z10" t="s">
        <v>198</v>
      </c>
      <c r="AA10" t="s">
        <v>139</v>
      </c>
      <c r="AB10" t="s">
        <v>138</v>
      </c>
      <c r="AC10" t="s">
        <v>197</v>
      </c>
      <c r="AD10" t="s">
        <v>3</v>
      </c>
      <c r="AE10" t="s">
        <v>861</v>
      </c>
      <c r="AF10" t="s">
        <v>862</v>
      </c>
      <c r="AG10" t="s">
        <v>863</v>
      </c>
      <c r="AH10" t="s">
        <v>48</v>
      </c>
      <c r="AI10" t="s">
        <v>864</v>
      </c>
      <c r="AJ10" t="s">
        <v>865</v>
      </c>
      <c r="AK10" t="s">
        <v>866</v>
      </c>
      <c r="AL10" t="s">
        <v>867</v>
      </c>
      <c r="AM10" t="s">
        <v>48</v>
      </c>
      <c r="AN10" t="s">
        <v>868</v>
      </c>
      <c r="AO10" t="s">
        <v>869</v>
      </c>
      <c r="AP10" t="s">
        <v>870</v>
      </c>
      <c r="AQ10" t="s">
        <v>871</v>
      </c>
      <c r="AR10" t="s">
        <v>48</v>
      </c>
      <c r="AS10" t="s">
        <v>872</v>
      </c>
      <c r="AT10" t="s">
        <v>873</v>
      </c>
      <c r="AU10" t="s">
        <v>3</v>
      </c>
      <c r="AV10" t="s">
        <v>5</v>
      </c>
    </row>
    <row r="11" spans="1:48" ht="60" x14ac:dyDescent="0.25">
      <c r="A11" t="s">
        <v>874</v>
      </c>
      <c r="B11" s="68" t="s">
        <v>875</v>
      </c>
      <c r="C11" t="s">
        <v>3</v>
      </c>
      <c r="D11" t="s">
        <v>876</v>
      </c>
      <c r="E11" t="s">
        <v>434</v>
      </c>
      <c r="F11" t="s">
        <v>877</v>
      </c>
      <c r="G11" t="s">
        <v>878</v>
      </c>
      <c r="H11" s="67" t="s">
        <v>879</v>
      </c>
      <c r="I11" t="s">
        <v>116</v>
      </c>
      <c r="J11" t="s">
        <v>166</v>
      </c>
      <c r="K11" t="s">
        <v>109</v>
      </c>
      <c r="L11" t="s">
        <v>880</v>
      </c>
      <c r="M11" t="s">
        <v>3</v>
      </c>
      <c r="N11" t="s">
        <v>147</v>
      </c>
      <c r="O11" t="s">
        <v>108</v>
      </c>
      <c r="P11" t="s">
        <v>146</v>
      </c>
      <c r="Q11" t="s">
        <v>880</v>
      </c>
      <c r="R11" t="s">
        <v>881</v>
      </c>
      <c r="S11" t="s">
        <v>147</v>
      </c>
      <c r="T11" t="s">
        <v>108</v>
      </c>
      <c r="U11" t="s">
        <v>146</v>
      </c>
      <c r="V11" t="s">
        <v>882</v>
      </c>
      <c r="W11" t="s">
        <v>883</v>
      </c>
      <c r="X11" t="s">
        <v>3</v>
      </c>
      <c r="Y11" t="s">
        <v>3</v>
      </c>
      <c r="Z11" t="s">
        <v>145</v>
      </c>
      <c r="AA11" t="s">
        <v>113</v>
      </c>
      <c r="AB11" t="s">
        <v>133</v>
      </c>
      <c r="AC11" t="s">
        <v>144</v>
      </c>
      <c r="AD11" t="s">
        <v>3</v>
      </c>
      <c r="AE11" t="s">
        <v>884</v>
      </c>
      <c r="AF11" t="s">
        <v>885</v>
      </c>
      <c r="AG11" t="s">
        <v>290</v>
      </c>
      <c r="AH11" t="s">
        <v>149</v>
      </c>
      <c r="AI11" t="s">
        <v>323</v>
      </c>
      <c r="AJ11" t="s">
        <v>886</v>
      </c>
      <c r="AK11" t="s">
        <v>887</v>
      </c>
      <c r="AL11" t="s">
        <v>282</v>
      </c>
      <c r="AM11" t="s">
        <v>48</v>
      </c>
      <c r="AN11" t="s">
        <v>888</v>
      </c>
      <c r="AO11" t="s">
        <v>889</v>
      </c>
      <c r="AP11" t="s">
        <v>890</v>
      </c>
      <c r="AQ11" t="s">
        <v>316</v>
      </c>
      <c r="AR11" t="s">
        <v>48</v>
      </c>
      <c r="AS11" t="s">
        <v>340</v>
      </c>
      <c r="AT11" t="s">
        <v>891</v>
      </c>
      <c r="AU11" t="s">
        <v>3</v>
      </c>
      <c r="AV11" t="s">
        <v>5</v>
      </c>
    </row>
    <row r="12" spans="1:48" ht="135" x14ac:dyDescent="0.25">
      <c r="A12" t="s">
        <v>408</v>
      </c>
      <c r="B12" s="71" t="s">
        <v>1196</v>
      </c>
      <c r="C12" t="s">
        <v>3</v>
      </c>
      <c r="D12" t="s">
        <v>285</v>
      </c>
      <c r="E12" t="s">
        <v>409</v>
      </c>
      <c r="F12" t="s">
        <v>410</v>
      </c>
      <c r="G12" t="s">
        <v>411</v>
      </c>
      <c r="H12" s="71" t="s">
        <v>412</v>
      </c>
      <c r="I12" t="s">
        <v>116</v>
      </c>
      <c r="J12" t="s">
        <v>358</v>
      </c>
      <c r="K12" t="s">
        <v>115</v>
      </c>
      <c r="L12" t="s">
        <v>413</v>
      </c>
      <c r="M12" t="s">
        <v>3</v>
      </c>
      <c r="N12" t="s">
        <v>308</v>
      </c>
      <c r="O12" t="s">
        <v>135</v>
      </c>
      <c r="P12" t="s">
        <v>313</v>
      </c>
      <c r="Q12" t="s">
        <v>414</v>
      </c>
      <c r="R12" t="s">
        <v>415</v>
      </c>
      <c r="S12" t="s">
        <v>108</v>
      </c>
      <c r="T12" t="s">
        <v>108</v>
      </c>
      <c r="U12" t="s">
        <v>129</v>
      </c>
      <c r="V12" t="s">
        <v>416</v>
      </c>
      <c r="W12" t="s">
        <v>417</v>
      </c>
      <c r="X12" t="s">
        <v>3</v>
      </c>
      <c r="Y12" t="s">
        <v>3</v>
      </c>
      <c r="Z12" t="s">
        <v>126</v>
      </c>
      <c r="AA12" t="s">
        <v>113</v>
      </c>
      <c r="AB12" t="s">
        <v>112</v>
      </c>
      <c r="AC12" t="s">
        <v>125</v>
      </c>
      <c r="AD12" t="s">
        <v>3</v>
      </c>
      <c r="AE12" t="s">
        <v>418</v>
      </c>
      <c r="AF12" t="s">
        <v>419</v>
      </c>
      <c r="AG12" t="s">
        <v>155</v>
      </c>
      <c r="AH12" t="s">
        <v>48</v>
      </c>
      <c r="AI12" t="s">
        <v>420</v>
      </c>
      <c r="AJ12" t="s">
        <v>421</v>
      </c>
      <c r="AK12" t="s">
        <v>422</v>
      </c>
      <c r="AL12" t="s">
        <v>423</v>
      </c>
      <c r="AM12" t="s">
        <v>176</v>
      </c>
      <c r="AN12" t="s">
        <v>424</v>
      </c>
      <c r="AO12" t="s">
        <v>425</v>
      </c>
      <c r="AP12" t="s">
        <v>426</v>
      </c>
      <c r="AQ12" t="s">
        <v>369</v>
      </c>
      <c r="AR12" t="s">
        <v>176</v>
      </c>
      <c r="AS12" t="s">
        <v>427</v>
      </c>
      <c r="AT12" t="s">
        <v>428</v>
      </c>
      <c r="AU12" t="s">
        <v>3</v>
      </c>
      <c r="AV12" t="s">
        <v>5</v>
      </c>
    </row>
    <row r="13" spans="1:48" ht="75" x14ac:dyDescent="0.25">
      <c r="A13" t="s">
        <v>892</v>
      </c>
      <c r="B13" s="68" t="s">
        <v>893</v>
      </c>
      <c r="C13" t="s">
        <v>3</v>
      </c>
      <c r="D13" t="s">
        <v>484</v>
      </c>
      <c r="E13" t="s">
        <v>894</v>
      </c>
      <c r="F13" t="s">
        <v>895</v>
      </c>
      <c r="G13" t="s">
        <v>896</v>
      </c>
      <c r="H13" s="67" t="s">
        <v>897</v>
      </c>
      <c r="I13" t="s">
        <v>111</v>
      </c>
      <c r="J13" t="s">
        <v>187</v>
      </c>
      <c r="K13" t="s">
        <v>109</v>
      </c>
      <c r="L13" t="s">
        <v>898</v>
      </c>
      <c r="M13" t="s">
        <v>3</v>
      </c>
      <c r="N13" t="s">
        <v>108</v>
      </c>
      <c r="O13" t="s">
        <v>108</v>
      </c>
      <c r="P13" t="s">
        <v>129</v>
      </c>
      <c r="Q13" t="s">
        <v>898</v>
      </c>
      <c r="R13" t="s">
        <v>899</v>
      </c>
      <c r="S13" t="s">
        <v>108</v>
      </c>
      <c r="T13" t="s">
        <v>108</v>
      </c>
      <c r="U13" t="s">
        <v>129</v>
      </c>
      <c r="V13" t="s">
        <v>900</v>
      </c>
      <c r="W13" t="s">
        <v>901</v>
      </c>
      <c r="X13" t="s">
        <v>3</v>
      </c>
      <c r="Y13" t="s">
        <v>3</v>
      </c>
      <c r="Z13" t="s">
        <v>902</v>
      </c>
      <c r="AA13" t="s">
        <v>183</v>
      </c>
      <c r="AB13" t="s">
        <v>200</v>
      </c>
      <c r="AC13" t="s">
        <v>903</v>
      </c>
      <c r="AD13" t="s">
        <v>3</v>
      </c>
      <c r="AE13" t="s">
        <v>904</v>
      </c>
      <c r="AF13" t="s">
        <v>905</v>
      </c>
      <c r="AG13" t="s">
        <v>196</v>
      </c>
      <c r="AH13" t="s">
        <v>295</v>
      </c>
      <c r="AI13" t="s">
        <v>906</v>
      </c>
      <c r="AJ13" t="s">
        <v>907</v>
      </c>
      <c r="AK13" t="s">
        <v>3</v>
      </c>
      <c r="AL13" t="s">
        <v>3</v>
      </c>
      <c r="AM13" t="s">
        <v>3</v>
      </c>
      <c r="AN13" t="s">
        <v>3</v>
      </c>
      <c r="AO13" t="s">
        <v>3</v>
      </c>
      <c r="AP13" t="s">
        <v>3</v>
      </c>
      <c r="AQ13" t="s">
        <v>3</v>
      </c>
      <c r="AR13" t="s">
        <v>3</v>
      </c>
      <c r="AS13" t="s">
        <v>3</v>
      </c>
      <c r="AT13" t="s">
        <v>3</v>
      </c>
      <c r="AU13" t="s">
        <v>3</v>
      </c>
      <c r="AV13" t="s">
        <v>5</v>
      </c>
    </row>
    <row r="14" spans="1:48" ht="285" x14ac:dyDescent="0.25">
      <c r="A14" t="s">
        <v>266</v>
      </c>
      <c r="B14" s="72" t="s">
        <v>258</v>
      </c>
      <c r="C14" t="s">
        <v>3</v>
      </c>
      <c r="D14" t="s">
        <v>268</v>
      </c>
      <c r="E14" t="s">
        <v>267</v>
      </c>
      <c r="F14" t="s">
        <v>265</v>
      </c>
      <c r="G14" t="s">
        <v>264</v>
      </c>
      <c r="H14" s="71" t="s">
        <v>318</v>
      </c>
      <c r="I14" t="s">
        <v>116</v>
      </c>
      <c r="J14" t="s">
        <v>153</v>
      </c>
      <c r="K14" t="s">
        <v>115</v>
      </c>
      <c r="L14" t="s">
        <v>319</v>
      </c>
      <c r="M14" t="s">
        <v>3</v>
      </c>
      <c r="N14" t="s">
        <v>263</v>
      </c>
      <c r="O14" t="s">
        <v>108</v>
      </c>
      <c r="P14" t="s">
        <v>262</v>
      </c>
      <c r="Q14" t="s">
        <v>319</v>
      </c>
      <c r="R14" t="s">
        <v>3</v>
      </c>
      <c r="S14" t="s">
        <v>263</v>
      </c>
      <c r="T14" t="s">
        <v>108</v>
      </c>
      <c r="U14" t="s">
        <v>262</v>
      </c>
      <c r="V14" t="s">
        <v>261</v>
      </c>
      <c r="W14" t="s">
        <v>260</v>
      </c>
      <c r="X14" t="s">
        <v>3</v>
      </c>
      <c r="Y14" t="s">
        <v>3</v>
      </c>
      <c r="Z14" t="s">
        <v>161</v>
      </c>
      <c r="AA14" t="s">
        <v>113</v>
      </c>
      <c r="AB14" t="s">
        <v>160</v>
      </c>
      <c r="AC14" t="s">
        <v>159</v>
      </c>
      <c r="AD14" t="s">
        <v>3</v>
      </c>
      <c r="AE14" t="s">
        <v>259</v>
      </c>
      <c r="AF14" t="s">
        <v>255</v>
      </c>
      <c r="AG14" t="s">
        <v>254</v>
      </c>
      <c r="AH14" t="s">
        <v>48</v>
      </c>
      <c r="AI14" t="s">
        <v>320</v>
      </c>
      <c r="AJ14" t="s">
        <v>253</v>
      </c>
      <c r="AK14" t="s">
        <v>257</v>
      </c>
      <c r="AL14" t="s">
        <v>254</v>
      </c>
      <c r="AM14" t="s">
        <v>48</v>
      </c>
      <c r="AN14" t="s">
        <v>321</v>
      </c>
      <c r="AO14" t="s">
        <v>256</v>
      </c>
      <c r="AP14" t="s">
        <v>258</v>
      </c>
      <c r="AQ14" t="s">
        <v>254</v>
      </c>
      <c r="AR14" t="s">
        <v>48</v>
      </c>
      <c r="AS14" t="s">
        <v>322</v>
      </c>
      <c r="AT14" t="s">
        <v>253</v>
      </c>
      <c r="AU14" t="s">
        <v>3</v>
      </c>
      <c r="AV14" t="s">
        <v>5</v>
      </c>
    </row>
    <row r="15" spans="1:48" ht="75" x14ac:dyDescent="0.25">
      <c r="A15" t="s">
        <v>492</v>
      </c>
      <c r="B15" s="72" t="s">
        <v>493</v>
      </c>
      <c r="C15" t="s">
        <v>3</v>
      </c>
      <c r="D15" t="s">
        <v>494</v>
      </c>
      <c r="E15" t="s">
        <v>495</v>
      </c>
      <c r="F15" t="s">
        <v>496</v>
      </c>
      <c r="G15" t="s">
        <v>497</v>
      </c>
      <c r="H15" s="71" t="s">
        <v>498</v>
      </c>
      <c r="I15" t="s">
        <v>52</v>
      </c>
      <c r="J15" t="s">
        <v>252</v>
      </c>
      <c r="K15" t="s">
        <v>51</v>
      </c>
      <c r="L15" t="s">
        <v>499</v>
      </c>
      <c r="M15" t="s">
        <v>3</v>
      </c>
      <c r="N15" t="s">
        <v>367</v>
      </c>
      <c r="O15" t="s">
        <v>108</v>
      </c>
      <c r="P15" t="s">
        <v>366</v>
      </c>
      <c r="Q15" t="s">
        <v>499</v>
      </c>
      <c r="R15" t="s">
        <v>500</v>
      </c>
      <c r="S15" t="s">
        <v>367</v>
      </c>
      <c r="T15" t="s">
        <v>108</v>
      </c>
      <c r="U15" t="s">
        <v>366</v>
      </c>
      <c r="V15" t="s">
        <v>501</v>
      </c>
      <c r="W15" t="s">
        <v>502</v>
      </c>
      <c r="X15" t="s">
        <v>3</v>
      </c>
      <c r="Y15" t="s">
        <v>3</v>
      </c>
      <c r="Z15" t="s">
        <v>292</v>
      </c>
      <c r="AA15" t="s">
        <v>113</v>
      </c>
      <c r="AB15" t="s">
        <v>123</v>
      </c>
      <c r="AC15" t="s">
        <v>291</v>
      </c>
      <c r="AD15" t="s">
        <v>3</v>
      </c>
      <c r="AE15" t="s">
        <v>503</v>
      </c>
      <c r="AF15" t="s">
        <v>504</v>
      </c>
      <c r="AG15" t="s">
        <v>505</v>
      </c>
      <c r="AH15" t="s">
        <v>295</v>
      </c>
      <c r="AI15" t="s">
        <v>325</v>
      </c>
      <c r="AJ15" t="s">
        <v>506</v>
      </c>
      <c r="AK15" t="s">
        <v>507</v>
      </c>
      <c r="AL15" t="s">
        <v>508</v>
      </c>
      <c r="AM15" t="s">
        <v>48</v>
      </c>
      <c r="AN15" t="s">
        <v>509</v>
      </c>
      <c r="AO15" t="s">
        <v>510</v>
      </c>
      <c r="AP15" t="s">
        <v>511</v>
      </c>
      <c r="AQ15" t="s">
        <v>249</v>
      </c>
      <c r="AR15" t="s">
        <v>3</v>
      </c>
      <c r="AS15" t="s">
        <v>353</v>
      </c>
      <c r="AT15" t="s">
        <v>512</v>
      </c>
      <c r="AU15" t="s">
        <v>3</v>
      </c>
      <c r="AV15" t="s">
        <v>5</v>
      </c>
    </row>
    <row r="16" spans="1:48" ht="409.5" x14ac:dyDescent="0.25">
      <c r="A16" t="s">
        <v>513</v>
      </c>
      <c r="B16" s="68" t="s">
        <v>514</v>
      </c>
      <c r="C16" t="s">
        <v>3</v>
      </c>
      <c r="D16" t="s">
        <v>515</v>
      </c>
      <c r="E16" t="s">
        <v>516</v>
      </c>
      <c r="F16" t="s">
        <v>517</v>
      </c>
      <c r="G16" t="s">
        <v>518</v>
      </c>
      <c r="H16" s="67" t="s">
        <v>519</v>
      </c>
      <c r="I16" t="s">
        <v>116</v>
      </c>
      <c r="J16" t="s">
        <v>173</v>
      </c>
      <c r="K16" t="s">
        <v>169</v>
      </c>
      <c r="L16" t="s">
        <v>520</v>
      </c>
      <c r="M16" t="s">
        <v>3</v>
      </c>
      <c r="N16" t="s">
        <v>521</v>
      </c>
      <c r="O16" t="s">
        <v>135</v>
      </c>
      <c r="P16" t="s">
        <v>522</v>
      </c>
      <c r="Q16" t="s">
        <v>520</v>
      </c>
      <c r="R16" t="s">
        <v>3</v>
      </c>
      <c r="S16" t="s">
        <v>521</v>
      </c>
      <c r="T16" t="s">
        <v>135</v>
      </c>
      <c r="U16" t="s">
        <v>522</v>
      </c>
      <c r="V16" t="s">
        <v>523</v>
      </c>
      <c r="W16" t="s">
        <v>524</v>
      </c>
      <c r="X16" t="s">
        <v>3</v>
      </c>
      <c r="Y16" t="s">
        <v>3</v>
      </c>
      <c r="Z16" t="s">
        <v>161</v>
      </c>
      <c r="AA16" t="s">
        <v>113</v>
      </c>
      <c r="AB16" t="s">
        <v>160</v>
      </c>
      <c r="AC16" t="s">
        <v>159</v>
      </c>
      <c r="AD16" t="s">
        <v>3</v>
      </c>
      <c r="AE16" t="s">
        <v>525</v>
      </c>
      <c r="AF16" t="s">
        <v>3</v>
      </c>
      <c r="AG16" t="s">
        <v>3</v>
      </c>
      <c r="AH16" t="s">
        <v>3</v>
      </c>
      <c r="AI16" t="s">
        <v>3</v>
      </c>
      <c r="AJ16" t="s">
        <v>3</v>
      </c>
      <c r="AK16" t="s">
        <v>3</v>
      </c>
      <c r="AL16" t="s">
        <v>3</v>
      </c>
      <c r="AM16" t="s">
        <v>3</v>
      </c>
      <c r="AN16" t="s">
        <v>3</v>
      </c>
      <c r="AO16" t="s">
        <v>3</v>
      </c>
      <c r="AP16" t="s">
        <v>3</v>
      </c>
      <c r="AQ16" t="s">
        <v>3</v>
      </c>
      <c r="AR16" t="s">
        <v>3</v>
      </c>
      <c r="AS16" t="s">
        <v>3</v>
      </c>
      <c r="AT16" t="s">
        <v>3</v>
      </c>
      <c r="AU16" t="s">
        <v>3</v>
      </c>
      <c r="AV16" t="s">
        <v>5</v>
      </c>
    </row>
    <row r="17" spans="1:48" ht="60" x14ac:dyDescent="0.25">
      <c r="A17" t="s">
        <v>248</v>
      </c>
      <c r="B17" s="68" t="s">
        <v>247</v>
      </c>
      <c r="C17" t="s">
        <v>246</v>
      </c>
      <c r="D17" t="s">
        <v>245</v>
      </c>
      <c r="E17" t="s">
        <v>202</v>
      </c>
      <c r="F17" t="s">
        <v>244</v>
      </c>
      <c r="G17" t="s">
        <v>243</v>
      </c>
      <c r="H17" s="67" t="s">
        <v>242</v>
      </c>
      <c r="I17" t="s">
        <v>111</v>
      </c>
      <c r="J17" t="s">
        <v>148</v>
      </c>
      <c r="K17" t="s">
        <v>115</v>
      </c>
      <c r="L17" t="s">
        <v>241</v>
      </c>
      <c r="M17" t="s">
        <v>3</v>
      </c>
      <c r="N17" t="s">
        <v>240</v>
      </c>
      <c r="O17" t="s">
        <v>108</v>
      </c>
      <c r="P17" t="s">
        <v>239</v>
      </c>
      <c r="Q17" t="s">
        <v>241</v>
      </c>
      <c r="R17" t="s">
        <v>3</v>
      </c>
      <c r="S17" t="s">
        <v>240</v>
      </c>
      <c r="T17" t="s">
        <v>108</v>
      </c>
      <c r="U17" t="s">
        <v>239</v>
      </c>
      <c r="V17" t="s">
        <v>3</v>
      </c>
      <c r="W17" t="s">
        <v>238</v>
      </c>
      <c r="X17" t="s">
        <v>3</v>
      </c>
      <c r="Y17" t="s">
        <v>3</v>
      </c>
      <c r="Z17" t="s">
        <v>126</v>
      </c>
      <c r="AA17" t="s">
        <v>113</v>
      </c>
      <c r="AB17" t="s">
        <v>112</v>
      </c>
      <c r="AC17" t="s">
        <v>125</v>
      </c>
      <c r="AD17" t="s">
        <v>3</v>
      </c>
      <c r="AE17" t="s">
        <v>237</v>
      </c>
      <c r="AF17" t="s">
        <v>326</v>
      </c>
      <c r="AG17" t="s">
        <v>327</v>
      </c>
      <c r="AH17" t="s">
        <v>130</v>
      </c>
      <c r="AI17" t="s">
        <v>328</v>
      </c>
      <c r="AJ17" t="s">
        <v>329</v>
      </c>
      <c r="AK17" t="s">
        <v>330</v>
      </c>
      <c r="AL17" t="s">
        <v>283</v>
      </c>
      <c r="AM17" t="s">
        <v>48</v>
      </c>
      <c r="AN17" t="s">
        <v>331</v>
      </c>
      <c r="AO17" t="s">
        <v>332</v>
      </c>
      <c r="AP17" t="s">
        <v>236</v>
      </c>
      <c r="AQ17" t="s">
        <v>117</v>
      </c>
      <c r="AR17" t="s">
        <v>185</v>
      </c>
      <c r="AS17" t="s">
        <v>333</v>
      </c>
      <c r="AT17" t="s">
        <v>334</v>
      </c>
      <c r="AU17" t="s">
        <v>3</v>
      </c>
      <c r="AV17" t="s">
        <v>5</v>
      </c>
    </row>
    <row r="18" spans="1:48" ht="345" x14ac:dyDescent="0.25">
      <c r="A18" t="s">
        <v>526</v>
      </c>
      <c r="B18" s="68" t="s">
        <v>527</v>
      </c>
      <c r="C18" t="s">
        <v>3</v>
      </c>
      <c r="D18" t="s">
        <v>528</v>
      </c>
      <c r="E18" t="s">
        <v>529</v>
      </c>
      <c r="F18" t="s">
        <v>530</v>
      </c>
      <c r="G18" t="s">
        <v>531</v>
      </c>
      <c r="H18" s="67" t="s">
        <v>532</v>
      </c>
      <c r="I18" t="s">
        <v>116</v>
      </c>
      <c r="J18" t="s">
        <v>158</v>
      </c>
      <c r="K18" t="s">
        <v>169</v>
      </c>
      <c r="L18" t="s">
        <v>533</v>
      </c>
      <c r="M18" t="s">
        <v>3</v>
      </c>
      <c r="N18" t="s">
        <v>534</v>
      </c>
      <c r="O18" t="s">
        <v>135</v>
      </c>
      <c r="P18" t="s">
        <v>535</v>
      </c>
      <c r="Q18" t="s">
        <v>533</v>
      </c>
      <c r="R18" t="s">
        <v>3</v>
      </c>
      <c r="S18" t="s">
        <v>534</v>
      </c>
      <c r="T18" t="s">
        <v>135</v>
      </c>
      <c r="U18" t="s">
        <v>535</v>
      </c>
      <c r="V18" t="s">
        <v>536</v>
      </c>
      <c r="W18" t="s">
        <v>537</v>
      </c>
      <c r="X18" t="s">
        <v>3</v>
      </c>
      <c r="Y18" t="s">
        <v>3</v>
      </c>
      <c r="Z18" t="s">
        <v>538</v>
      </c>
      <c r="AA18" t="s">
        <v>276</v>
      </c>
      <c r="AB18" t="s">
        <v>539</v>
      </c>
      <c r="AC18" t="s">
        <v>540</v>
      </c>
      <c r="AD18" t="s">
        <v>3</v>
      </c>
      <c r="AE18" t="s">
        <v>541</v>
      </c>
      <c r="AF18" t="s">
        <v>542</v>
      </c>
      <c r="AG18" t="s">
        <v>279</v>
      </c>
      <c r="AH18" t="s">
        <v>306</v>
      </c>
      <c r="AI18" t="s">
        <v>543</v>
      </c>
      <c r="AJ18" t="s">
        <v>544</v>
      </c>
      <c r="AK18" t="s">
        <v>545</v>
      </c>
      <c r="AL18" t="s">
        <v>179</v>
      </c>
      <c r="AM18" t="s">
        <v>355</v>
      </c>
      <c r="AN18" t="s">
        <v>546</v>
      </c>
      <c r="AO18" t="s">
        <v>547</v>
      </c>
      <c r="AP18" t="s">
        <v>548</v>
      </c>
      <c r="AQ18" t="s">
        <v>177</v>
      </c>
      <c r="AR18" t="s">
        <v>306</v>
      </c>
      <c r="AS18" t="s">
        <v>549</v>
      </c>
      <c r="AT18" t="s">
        <v>550</v>
      </c>
      <c r="AU18" t="s">
        <v>3</v>
      </c>
      <c r="AV18" t="s">
        <v>5</v>
      </c>
    </row>
    <row r="19" spans="1:48" ht="409.5" x14ac:dyDescent="0.25">
      <c r="A19" t="s">
        <v>908</v>
      </c>
      <c r="B19" s="68" t="s">
        <v>909</v>
      </c>
      <c r="C19" t="s">
        <v>3</v>
      </c>
      <c r="D19" t="s">
        <v>910</v>
      </c>
      <c r="E19" t="s">
        <v>458</v>
      </c>
      <c r="F19" t="s">
        <v>911</v>
      </c>
      <c r="G19" t="s">
        <v>912</v>
      </c>
      <c r="H19" s="67" t="s">
        <v>913</v>
      </c>
      <c r="I19" t="s">
        <v>116</v>
      </c>
      <c r="J19" t="s">
        <v>310</v>
      </c>
      <c r="K19" t="s">
        <v>115</v>
      </c>
      <c r="L19" t="s">
        <v>914</v>
      </c>
      <c r="M19" t="s">
        <v>3</v>
      </c>
      <c r="N19" t="s">
        <v>108</v>
      </c>
      <c r="O19" t="s">
        <v>108</v>
      </c>
      <c r="P19" t="s">
        <v>307</v>
      </c>
      <c r="Q19" t="s">
        <v>914</v>
      </c>
      <c r="R19" t="s">
        <v>915</v>
      </c>
      <c r="S19" t="s">
        <v>108</v>
      </c>
      <c r="T19" t="s">
        <v>108</v>
      </c>
      <c r="U19" t="s">
        <v>307</v>
      </c>
      <c r="V19" t="s">
        <v>916</v>
      </c>
      <c r="W19" t="s">
        <v>917</v>
      </c>
      <c r="X19" t="s">
        <v>3</v>
      </c>
      <c r="Y19" t="s">
        <v>3</v>
      </c>
      <c r="Z19" t="s">
        <v>134</v>
      </c>
      <c r="AA19" t="s">
        <v>113</v>
      </c>
      <c r="AB19" t="s">
        <v>133</v>
      </c>
      <c r="AC19" t="s">
        <v>132</v>
      </c>
      <c r="AD19" t="s">
        <v>3</v>
      </c>
      <c r="AE19" t="s">
        <v>918</v>
      </c>
      <c r="AF19" t="s">
        <v>919</v>
      </c>
      <c r="AG19" t="s">
        <v>290</v>
      </c>
      <c r="AH19" t="s">
        <v>48</v>
      </c>
      <c r="AI19" t="s">
        <v>478</v>
      </c>
      <c r="AJ19" t="s">
        <v>920</v>
      </c>
      <c r="AK19" t="s">
        <v>921</v>
      </c>
      <c r="AL19" t="s">
        <v>922</v>
      </c>
      <c r="AM19" t="s">
        <v>48</v>
      </c>
      <c r="AN19" t="s">
        <v>923</v>
      </c>
      <c r="AO19" t="s">
        <v>924</v>
      </c>
      <c r="AP19" t="s">
        <v>925</v>
      </c>
      <c r="AQ19" t="s">
        <v>305</v>
      </c>
      <c r="AR19" t="s">
        <v>48</v>
      </c>
      <c r="AS19" t="s">
        <v>926</v>
      </c>
      <c r="AT19" t="s">
        <v>927</v>
      </c>
      <c r="AU19" t="s">
        <v>3</v>
      </c>
      <c r="AV19" t="s">
        <v>5</v>
      </c>
    </row>
    <row r="20" spans="1:48" ht="135" x14ac:dyDescent="0.25">
      <c r="A20" t="s">
        <v>432</v>
      </c>
      <c r="B20" s="68" t="s">
        <v>433</v>
      </c>
      <c r="C20" t="s">
        <v>3</v>
      </c>
      <c r="D20" t="s">
        <v>928</v>
      </c>
      <c r="E20" t="s">
        <v>434</v>
      </c>
      <c r="F20" t="s">
        <v>435</v>
      </c>
      <c r="G20" t="s">
        <v>436</v>
      </c>
      <c r="H20" s="67" t="s">
        <v>437</v>
      </c>
      <c r="I20" t="s">
        <v>116</v>
      </c>
      <c r="J20" t="s">
        <v>335</v>
      </c>
      <c r="K20" t="s">
        <v>109</v>
      </c>
      <c r="L20" t="s">
        <v>438</v>
      </c>
      <c r="M20" t="s">
        <v>3</v>
      </c>
      <c r="N20" t="s">
        <v>131</v>
      </c>
      <c r="O20" t="s">
        <v>108</v>
      </c>
      <c r="P20" t="s">
        <v>190</v>
      </c>
      <c r="Q20" t="s">
        <v>439</v>
      </c>
      <c r="R20" t="s">
        <v>440</v>
      </c>
      <c r="S20" t="s">
        <v>441</v>
      </c>
      <c r="T20" t="s">
        <v>135</v>
      </c>
      <c r="U20" t="s">
        <v>442</v>
      </c>
      <c r="V20" t="s">
        <v>443</v>
      </c>
      <c r="W20" t="s">
        <v>444</v>
      </c>
      <c r="X20" t="s">
        <v>3</v>
      </c>
      <c r="Y20" t="s">
        <v>3</v>
      </c>
      <c r="Z20" t="s">
        <v>126</v>
      </c>
      <c r="AA20" t="s">
        <v>113</v>
      </c>
      <c r="AB20" t="s">
        <v>112</v>
      </c>
      <c r="AC20" t="s">
        <v>125</v>
      </c>
      <c r="AD20" t="s">
        <v>3</v>
      </c>
      <c r="AE20" t="s">
        <v>445</v>
      </c>
      <c r="AF20" t="s">
        <v>446</v>
      </c>
      <c r="AG20" t="s">
        <v>272</v>
      </c>
      <c r="AH20" t="s">
        <v>48</v>
      </c>
      <c r="AI20" t="s">
        <v>406</v>
      </c>
      <c r="AJ20" t="s">
        <v>447</v>
      </c>
      <c r="AK20" t="s">
        <v>448</v>
      </c>
      <c r="AL20" t="s">
        <v>50</v>
      </c>
      <c r="AM20" t="s">
        <v>48</v>
      </c>
      <c r="AN20" t="s">
        <v>368</v>
      </c>
      <c r="AO20" t="s">
        <v>449</v>
      </c>
      <c r="AP20" t="s">
        <v>450</v>
      </c>
      <c r="AQ20" t="s">
        <v>233</v>
      </c>
      <c r="AR20" t="s">
        <v>48</v>
      </c>
      <c r="AS20" t="s">
        <v>451</v>
      </c>
      <c r="AT20" t="s">
        <v>452</v>
      </c>
      <c r="AU20" t="s">
        <v>3</v>
      </c>
      <c r="AV20" t="s">
        <v>5</v>
      </c>
    </row>
    <row r="21" spans="1:48" ht="300" x14ac:dyDescent="0.25">
      <c r="A21" t="s">
        <v>724</v>
      </c>
      <c r="B21" s="72" t="s">
        <v>725</v>
      </c>
      <c r="C21" t="s">
        <v>3</v>
      </c>
      <c r="D21" t="s">
        <v>726</v>
      </c>
      <c r="E21" t="s">
        <v>727</v>
      </c>
      <c r="F21" t="s">
        <v>728</v>
      </c>
      <c r="G21" t="s">
        <v>729</v>
      </c>
      <c r="H21" s="71" t="s">
        <v>730</v>
      </c>
      <c r="I21" t="s">
        <v>52</v>
      </c>
      <c r="J21" t="s">
        <v>153</v>
      </c>
      <c r="K21" t="s">
        <v>51</v>
      </c>
      <c r="L21" t="s">
        <v>731</v>
      </c>
      <c r="M21" t="s">
        <v>3</v>
      </c>
      <c r="N21" t="s">
        <v>732</v>
      </c>
      <c r="O21" t="s">
        <v>108</v>
      </c>
      <c r="P21" t="s">
        <v>733</v>
      </c>
      <c r="Q21" t="s">
        <v>731</v>
      </c>
      <c r="R21" t="s">
        <v>3</v>
      </c>
      <c r="S21" t="s">
        <v>732</v>
      </c>
      <c r="T21" t="s">
        <v>108</v>
      </c>
      <c r="U21" t="s">
        <v>733</v>
      </c>
      <c r="V21" t="s">
        <v>734</v>
      </c>
      <c r="W21" t="s">
        <v>735</v>
      </c>
      <c r="X21" t="s">
        <v>3</v>
      </c>
      <c r="Y21" t="s">
        <v>3</v>
      </c>
      <c r="Z21" t="s">
        <v>161</v>
      </c>
      <c r="AA21" t="s">
        <v>113</v>
      </c>
      <c r="AB21" t="s">
        <v>160</v>
      </c>
      <c r="AC21" t="s">
        <v>159</v>
      </c>
      <c r="AD21" t="s">
        <v>3</v>
      </c>
      <c r="AE21" t="s">
        <v>736</v>
      </c>
      <c r="AF21" t="s">
        <v>737</v>
      </c>
      <c r="AG21" t="s">
        <v>738</v>
      </c>
      <c r="AH21" t="s">
        <v>48</v>
      </c>
      <c r="AI21" t="s">
        <v>739</v>
      </c>
      <c r="AJ21" t="s">
        <v>740</v>
      </c>
      <c r="AK21" t="s">
        <v>741</v>
      </c>
      <c r="AL21" t="s">
        <v>742</v>
      </c>
      <c r="AM21" t="s">
        <v>48</v>
      </c>
      <c r="AN21" t="s">
        <v>365</v>
      </c>
      <c r="AO21" t="s">
        <v>743</v>
      </c>
      <c r="AP21" t="s">
        <v>744</v>
      </c>
      <c r="AQ21" t="s">
        <v>174</v>
      </c>
      <c r="AR21" t="s">
        <v>48</v>
      </c>
      <c r="AS21" t="s">
        <v>303</v>
      </c>
      <c r="AT21" t="s">
        <v>745</v>
      </c>
      <c r="AU21" t="s">
        <v>3</v>
      </c>
      <c r="AV21" t="s">
        <v>5</v>
      </c>
    </row>
    <row r="22" spans="1:48" ht="150" x14ac:dyDescent="0.25">
      <c r="A22" t="s">
        <v>459</v>
      </c>
      <c r="B22" s="72" t="s">
        <v>460</v>
      </c>
      <c r="C22" t="s">
        <v>461</v>
      </c>
      <c r="D22" t="s">
        <v>462</v>
      </c>
      <c r="E22" t="s">
        <v>463</v>
      </c>
      <c r="F22" t="s">
        <v>464</v>
      </c>
      <c r="G22" t="s">
        <v>465</v>
      </c>
      <c r="H22" s="71" t="s">
        <v>466</v>
      </c>
      <c r="I22" t="s">
        <v>52</v>
      </c>
      <c r="J22" t="s">
        <v>110</v>
      </c>
      <c r="K22" t="s">
        <v>51</v>
      </c>
      <c r="L22" t="s">
        <v>467</v>
      </c>
      <c r="M22" t="s">
        <v>3</v>
      </c>
      <c r="N22" t="s">
        <v>468</v>
      </c>
      <c r="O22" t="s">
        <v>108</v>
      </c>
      <c r="P22" t="s">
        <v>469</v>
      </c>
      <c r="Q22" t="s">
        <v>470</v>
      </c>
      <c r="R22" t="s">
        <v>3</v>
      </c>
      <c r="S22" t="s">
        <v>468</v>
      </c>
      <c r="T22" t="s">
        <v>108</v>
      </c>
      <c r="U22" t="s">
        <v>469</v>
      </c>
      <c r="V22" t="s">
        <v>471</v>
      </c>
      <c r="W22" t="s">
        <v>472</v>
      </c>
      <c r="X22" t="s">
        <v>3</v>
      </c>
      <c r="Y22" t="s">
        <v>3</v>
      </c>
      <c r="Z22" t="s">
        <v>271</v>
      </c>
      <c r="AA22" t="s">
        <v>113</v>
      </c>
      <c r="AB22" t="s">
        <v>112</v>
      </c>
      <c r="AC22" t="s">
        <v>270</v>
      </c>
      <c r="AD22" t="s">
        <v>3</v>
      </c>
      <c r="AE22" t="s">
        <v>473</v>
      </c>
      <c r="AF22" t="s">
        <v>474</v>
      </c>
      <c r="AG22" t="s">
        <v>475</v>
      </c>
      <c r="AH22" t="s">
        <v>48</v>
      </c>
      <c r="AI22" t="s">
        <v>380</v>
      </c>
      <c r="AJ22" t="s">
        <v>476</v>
      </c>
      <c r="AK22" t="s">
        <v>3</v>
      </c>
      <c r="AL22" t="s">
        <v>3</v>
      </c>
      <c r="AM22" t="s">
        <v>3</v>
      </c>
      <c r="AN22" t="s">
        <v>3</v>
      </c>
      <c r="AO22" t="s">
        <v>3</v>
      </c>
      <c r="AP22" t="s">
        <v>3</v>
      </c>
      <c r="AQ22" t="s">
        <v>3</v>
      </c>
      <c r="AR22" t="s">
        <v>3</v>
      </c>
      <c r="AS22" t="s">
        <v>3</v>
      </c>
      <c r="AT22" t="s">
        <v>3</v>
      </c>
      <c r="AU22" t="s">
        <v>3</v>
      </c>
      <c r="AV22" t="s">
        <v>5</v>
      </c>
    </row>
    <row r="23" spans="1:48" ht="150" x14ac:dyDescent="0.25">
      <c r="A23" t="s">
        <v>746</v>
      </c>
      <c r="B23" s="72" t="s">
        <v>747</v>
      </c>
      <c r="C23" t="s">
        <v>3</v>
      </c>
      <c r="D23" t="s">
        <v>748</v>
      </c>
      <c r="E23" t="s">
        <v>749</v>
      </c>
      <c r="F23" t="s">
        <v>750</v>
      </c>
      <c r="G23" t="s">
        <v>751</v>
      </c>
      <c r="H23" s="71" t="s">
        <v>752</v>
      </c>
      <c r="I23" t="s">
        <v>52</v>
      </c>
      <c r="J23" t="s">
        <v>228</v>
      </c>
      <c r="K23" t="s">
        <v>51</v>
      </c>
      <c r="L23" t="s">
        <v>753</v>
      </c>
      <c r="M23" t="s">
        <v>3</v>
      </c>
      <c r="N23" t="s">
        <v>151</v>
      </c>
      <c r="O23" t="s">
        <v>108</v>
      </c>
      <c r="P23" t="s">
        <v>150</v>
      </c>
      <c r="Q23" t="s">
        <v>753</v>
      </c>
      <c r="R23" t="s">
        <v>754</v>
      </c>
      <c r="S23" t="s">
        <v>151</v>
      </c>
      <c r="T23" t="s">
        <v>108</v>
      </c>
      <c r="U23" t="s">
        <v>150</v>
      </c>
      <c r="V23" t="s">
        <v>755</v>
      </c>
      <c r="W23" t="s">
        <v>756</v>
      </c>
      <c r="X23" t="s">
        <v>3</v>
      </c>
      <c r="Y23" t="s">
        <v>3</v>
      </c>
      <c r="Z23" t="s">
        <v>126</v>
      </c>
      <c r="AA23" t="s">
        <v>113</v>
      </c>
      <c r="AB23" t="s">
        <v>112</v>
      </c>
      <c r="AC23" t="s">
        <v>125</v>
      </c>
      <c r="AD23" t="s">
        <v>3</v>
      </c>
      <c r="AE23" t="s">
        <v>757</v>
      </c>
      <c r="AF23" t="s">
        <v>758</v>
      </c>
      <c r="AG23" t="s">
        <v>759</v>
      </c>
      <c r="AH23" t="s">
        <v>48</v>
      </c>
      <c r="AI23" t="s">
        <v>357</v>
      </c>
      <c r="AJ23" t="s">
        <v>760</v>
      </c>
      <c r="AK23" t="s">
        <v>761</v>
      </c>
      <c r="AL23" t="s">
        <v>254</v>
      </c>
      <c r="AM23" t="s">
        <v>48</v>
      </c>
      <c r="AN23" t="s">
        <v>352</v>
      </c>
      <c r="AO23" t="s">
        <v>762</v>
      </c>
      <c r="AP23" t="s">
        <v>763</v>
      </c>
      <c r="AQ23" t="s">
        <v>254</v>
      </c>
      <c r="AR23" t="s">
        <v>48</v>
      </c>
      <c r="AS23" t="s">
        <v>380</v>
      </c>
      <c r="AT23" t="s">
        <v>764</v>
      </c>
      <c r="AU23" t="s">
        <v>3</v>
      </c>
      <c r="AV23" t="s">
        <v>5</v>
      </c>
    </row>
    <row r="24" spans="1:48" ht="270" x14ac:dyDescent="0.25">
      <c r="A24" t="s">
        <v>929</v>
      </c>
      <c r="B24" s="68" t="s">
        <v>930</v>
      </c>
      <c r="C24" t="s">
        <v>3</v>
      </c>
      <c r="D24" t="s">
        <v>121</v>
      </c>
      <c r="E24" t="s">
        <v>931</v>
      </c>
      <c r="F24" t="s">
        <v>932</v>
      </c>
      <c r="G24" t="s">
        <v>933</v>
      </c>
      <c r="H24" s="67" t="s">
        <v>934</v>
      </c>
      <c r="I24" t="s">
        <v>111</v>
      </c>
      <c r="J24" t="s">
        <v>180</v>
      </c>
      <c r="K24" t="s">
        <v>140</v>
      </c>
      <c r="L24" t="s">
        <v>935</v>
      </c>
      <c r="M24" t="s">
        <v>3</v>
      </c>
      <c r="N24" t="s">
        <v>108</v>
      </c>
      <c r="O24" t="s">
        <v>108</v>
      </c>
      <c r="P24" t="s">
        <v>251</v>
      </c>
      <c r="Q24" t="s">
        <v>935</v>
      </c>
      <c r="R24" t="s">
        <v>936</v>
      </c>
      <c r="S24" t="s">
        <v>108</v>
      </c>
      <c r="T24" t="s">
        <v>108</v>
      </c>
      <c r="U24" t="s">
        <v>251</v>
      </c>
      <c r="V24" t="s">
        <v>937</v>
      </c>
      <c r="W24" t="s">
        <v>938</v>
      </c>
      <c r="X24" t="s">
        <v>3</v>
      </c>
      <c r="Y24" t="s">
        <v>3</v>
      </c>
      <c r="Z24" t="s">
        <v>195</v>
      </c>
      <c r="AA24" t="s">
        <v>113</v>
      </c>
      <c r="AB24" t="s">
        <v>194</v>
      </c>
      <c r="AC24" t="s">
        <v>193</v>
      </c>
      <c r="AD24" t="s">
        <v>3</v>
      </c>
      <c r="AE24" t="s">
        <v>939</v>
      </c>
      <c r="AF24" t="s">
        <v>940</v>
      </c>
      <c r="AG24" t="s">
        <v>941</v>
      </c>
      <c r="AH24" t="s">
        <v>48</v>
      </c>
      <c r="AI24" t="s">
        <v>356</v>
      </c>
      <c r="AJ24" t="s">
        <v>942</v>
      </c>
      <c r="AK24" t="s">
        <v>943</v>
      </c>
      <c r="AL24" t="s">
        <v>482</v>
      </c>
      <c r="AM24" t="s">
        <v>48</v>
      </c>
      <c r="AN24" t="s">
        <v>370</v>
      </c>
      <c r="AO24" t="s">
        <v>944</v>
      </c>
      <c r="AP24" t="s">
        <v>945</v>
      </c>
      <c r="AQ24" t="s">
        <v>50</v>
      </c>
      <c r="AR24" t="s">
        <v>48</v>
      </c>
      <c r="AS24" t="s">
        <v>485</v>
      </c>
      <c r="AT24" t="s">
        <v>942</v>
      </c>
      <c r="AU24" t="s">
        <v>3</v>
      </c>
      <c r="AV24" t="s">
        <v>5</v>
      </c>
    </row>
    <row r="25" spans="1:48" ht="105" x14ac:dyDescent="0.25">
      <c r="A25" t="s">
        <v>946</v>
      </c>
      <c r="B25" s="68" t="s">
        <v>947</v>
      </c>
      <c r="C25" t="s">
        <v>3</v>
      </c>
      <c r="D25" t="s">
        <v>948</v>
      </c>
      <c r="E25" t="s">
        <v>949</v>
      </c>
      <c r="F25" t="s">
        <v>950</v>
      </c>
      <c r="G25" t="s">
        <v>951</v>
      </c>
      <c r="H25" s="67" t="s">
        <v>952</v>
      </c>
      <c r="I25" t="s">
        <v>52</v>
      </c>
      <c r="J25" t="s">
        <v>162</v>
      </c>
      <c r="K25" t="s">
        <v>51</v>
      </c>
      <c r="L25" t="s">
        <v>953</v>
      </c>
      <c r="M25" t="s">
        <v>3</v>
      </c>
      <c r="N25" t="s">
        <v>108</v>
      </c>
      <c r="O25" t="s">
        <v>108</v>
      </c>
      <c r="P25" t="s">
        <v>114</v>
      </c>
      <c r="Q25" t="s">
        <v>953</v>
      </c>
      <c r="R25" t="s">
        <v>954</v>
      </c>
      <c r="S25" t="s">
        <v>108</v>
      </c>
      <c r="T25" t="s">
        <v>108</v>
      </c>
      <c r="U25" t="s">
        <v>114</v>
      </c>
      <c r="V25" t="s">
        <v>955</v>
      </c>
      <c r="W25" t="s">
        <v>956</v>
      </c>
      <c r="X25" t="s">
        <v>3</v>
      </c>
      <c r="Y25" t="s">
        <v>3</v>
      </c>
      <c r="Z25" t="s">
        <v>381</v>
      </c>
      <c r="AA25" t="s">
        <v>107</v>
      </c>
      <c r="AB25" t="s">
        <v>382</v>
      </c>
      <c r="AC25" t="s">
        <v>382</v>
      </c>
      <c r="AD25" t="s">
        <v>3</v>
      </c>
      <c r="AE25" t="s">
        <v>957</v>
      </c>
      <c r="AF25" t="s">
        <v>958</v>
      </c>
      <c r="AG25" t="s">
        <v>143</v>
      </c>
      <c r="AH25" t="s">
        <v>48</v>
      </c>
      <c r="AI25" t="s">
        <v>959</v>
      </c>
      <c r="AJ25" t="s">
        <v>960</v>
      </c>
      <c r="AK25" t="s">
        <v>961</v>
      </c>
      <c r="AL25" t="s">
        <v>962</v>
      </c>
      <c r="AM25" t="s">
        <v>48</v>
      </c>
      <c r="AN25" t="s">
        <v>963</v>
      </c>
      <c r="AO25" t="s">
        <v>964</v>
      </c>
      <c r="AP25" t="s">
        <v>965</v>
      </c>
      <c r="AQ25" t="s">
        <v>966</v>
      </c>
      <c r="AR25" t="s">
        <v>48</v>
      </c>
      <c r="AS25" t="s">
        <v>967</v>
      </c>
      <c r="AT25" t="s">
        <v>968</v>
      </c>
      <c r="AU25" t="s">
        <v>3</v>
      </c>
      <c r="AV25" t="s">
        <v>5</v>
      </c>
    </row>
    <row r="26" spans="1:48" ht="90" x14ac:dyDescent="0.25">
      <c r="A26" t="s">
        <v>969</v>
      </c>
      <c r="B26" s="68" t="s">
        <v>970</v>
      </c>
      <c r="C26" t="s">
        <v>3</v>
      </c>
      <c r="D26" t="s">
        <v>298</v>
      </c>
      <c r="E26" t="s">
        <v>971</v>
      </c>
      <c r="F26" t="s">
        <v>972</v>
      </c>
      <c r="G26" t="s">
        <v>973</v>
      </c>
      <c r="H26" s="67" t="s">
        <v>974</v>
      </c>
      <c r="I26" t="s">
        <v>52</v>
      </c>
      <c r="J26" t="s">
        <v>154</v>
      </c>
      <c r="K26" t="s">
        <v>51</v>
      </c>
      <c r="L26" t="s">
        <v>975</v>
      </c>
      <c r="M26" t="s">
        <v>3</v>
      </c>
      <c r="N26" t="s">
        <v>976</v>
      </c>
      <c r="O26" t="s">
        <v>203</v>
      </c>
      <c r="P26" t="s">
        <v>977</v>
      </c>
      <c r="Q26" t="s">
        <v>975</v>
      </c>
      <c r="R26" t="s">
        <v>978</v>
      </c>
      <c r="S26" t="s">
        <v>976</v>
      </c>
      <c r="T26" t="s">
        <v>203</v>
      </c>
      <c r="U26" t="s">
        <v>977</v>
      </c>
      <c r="V26" t="s">
        <v>979</v>
      </c>
      <c r="W26" t="s">
        <v>980</v>
      </c>
      <c r="X26" t="s">
        <v>3</v>
      </c>
      <c r="Y26" t="s">
        <v>3</v>
      </c>
      <c r="Z26" t="s">
        <v>126</v>
      </c>
      <c r="AA26" t="s">
        <v>113</v>
      </c>
      <c r="AB26" t="s">
        <v>112</v>
      </c>
      <c r="AC26" t="s">
        <v>125</v>
      </c>
      <c r="AD26" t="s">
        <v>3</v>
      </c>
      <c r="AE26" t="s">
        <v>981</v>
      </c>
      <c r="AF26" t="s">
        <v>3</v>
      </c>
      <c r="AG26" t="s">
        <v>3</v>
      </c>
      <c r="AH26" t="s">
        <v>3</v>
      </c>
      <c r="AI26" t="s">
        <v>3</v>
      </c>
      <c r="AJ26" t="s">
        <v>3</v>
      </c>
      <c r="AK26" t="s">
        <v>3</v>
      </c>
      <c r="AL26" t="s">
        <v>3</v>
      </c>
      <c r="AM26" t="s">
        <v>3</v>
      </c>
      <c r="AN26" t="s">
        <v>3</v>
      </c>
      <c r="AO26" t="s">
        <v>3</v>
      </c>
      <c r="AP26" t="s">
        <v>3</v>
      </c>
      <c r="AQ26" t="s">
        <v>3</v>
      </c>
      <c r="AR26" t="s">
        <v>3</v>
      </c>
      <c r="AS26" t="s">
        <v>3</v>
      </c>
      <c r="AT26" t="s">
        <v>3</v>
      </c>
      <c r="AU26" t="s">
        <v>3</v>
      </c>
      <c r="AV26" t="s">
        <v>5</v>
      </c>
    </row>
    <row r="27" spans="1:48" ht="135" x14ac:dyDescent="0.25">
      <c r="A27" t="s">
        <v>982</v>
      </c>
      <c r="B27" s="68" t="s">
        <v>983</v>
      </c>
      <c r="C27" t="s">
        <v>3</v>
      </c>
      <c r="D27" t="s">
        <v>377</v>
      </c>
      <c r="E27" t="s">
        <v>984</v>
      </c>
      <c r="F27" t="s">
        <v>985</v>
      </c>
      <c r="G27" t="s">
        <v>986</v>
      </c>
      <c r="H27" s="67" t="s">
        <v>987</v>
      </c>
      <c r="I27" t="s">
        <v>116</v>
      </c>
      <c r="J27" t="s">
        <v>118</v>
      </c>
      <c r="K27" t="s">
        <v>115</v>
      </c>
      <c r="L27" t="s">
        <v>988</v>
      </c>
      <c r="M27" t="s">
        <v>3</v>
      </c>
      <c r="N27" t="s">
        <v>989</v>
      </c>
      <c r="O27" t="s">
        <v>108</v>
      </c>
      <c r="P27" t="s">
        <v>990</v>
      </c>
      <c r="Q27" t="s">
        <v>385</v>
      </c>
      <c r="R27" t="s">
        <v>991</v>
      </c>
      <c r="S27" t="s">
        <v>304</v>
      </c>
      <c r="T27" t="s">
        <v>108</v>
      </c>
      <c r="U27" t="s">
        <v>372</v>
      </c>
      <c r="V27" t="s">
        <v>992</v>
      </c>
      <c r="W27" t="s">
        <v>993</v>
      </c>
      <c r="X27" t="s">
        <v>3</v>
      </c>
      <c r="Y27" t="s">
        <v>3</v>
      </c>
      <c r="Z27" t="s">
        <v>994</v>
      </c>
      <c r="AA27" t="s">
        <v>225</v>
      </c>
      <c r="AB27" t="s">
        <v>995</v>
      </c>
      <c r="AC27" t="s">
        <v>996</v>
      </c>
      <c r="AD27" t="s">
        <v>3</v>
      </c>
      <c r="AE27" t="s">
        <v>997</v>
      </c>
      <c r="AF27" t="s">
        <v>998</v>
      </c>
      <c r="AG27" t="s">
        <v>250</v>
      </c>
      <c r="AH27" t="s">
        <v>170</v>
      </c>
      <c r="AI27" t="s">
        <v>999</v>
      </c>
      <c r="AJ27" t="s">
        <v>1000</v>
      </c>
      <c r="AK27" t="s">
        <v>1001</v>
      </c>
      <c r="AL27" t="s">
        <v>188</v>
      </c>
      <c r="AM27" t="s">
        <v>48</v>
      </c>
      <c r="AN27" t="s">
        <v>315</v>
      </c>
      <c r="AO27" t="s">
        <v>1002</v>
      </c>
      <c r="AP27" t="s">
        <v>1003</v>
      </c>
      <c r="AQ27" t="s">
        <v>49</v>
      </c>
      <c r="AR27" t="s">
        <v>48</v>
      </c>
      <c r="AS27" t="s">
        <v>315</v>
      </c>
      <c r="AT27" t="s">
        <v>1004</v>
      </c>
      <c r="AU27" t="s">
        <v>3</v>
      </c>
      <c r="AV27" t="s">
        <v>5</v>
      </c>
    </row>
    <row r="28" spans="1:48" ht="105" x14ac:dyDescent="0.25">
      <c r="A28" t="s">
        <v>1005</v>
      </c>
      <c r="B28" s="68" t="s">
        <v>1006</v>
      </c>
      <c r="C28" t="s">
        <v>3</v>
      </c>
      <c r="D28" t="s">
        <v>1007</v>
      </c>
      <c r="E28" t="s">
        <v>1008</v>
      </c>
      <c r="F28" t="s">
        <v>1009</v>
      </c>
      <c r="G28" t="s">
        <v>1010</v>
      </c>
      <c r="H28" s="67" t="s">
        <v>1011</v>
      </c>
      <c r="I28" t="s">
        <v>116</v>
      </c>
      <c r="J28" t="s">
        <v>228</v>
      </c>
      <c r="K28" t="s">
        <v>115</v>
      </c>
      <c r="L28" t="s">
        <v>1012</v>
      </c>
      <c r="M28" t="s">
        <v>3</v>
      </c>
      <c r="N28" t="s">
        <v>182</v>
      </c>
      <c r="O28" t="s">
        <v>108</v>
      </c>
      <c r="P28" t="s">
        <v>455</v>
      </c>
      <c r="Q28" t="s">
        <v>1013</v>
      </c>
      <c r="R28" t="s">
        <v>1014</v>
      </c>
      <c r="S28" t="s">
        <v>131</v>
      </c>
      <c r="T28" t="s">
        <v>108</v>
      </c>
      <c r="U28" t="s">
        <v>371</v>
      </c>
      <c r="V28" t="s">
        <v>1015</v>
      </c>
      <c r="W28" t="s">
        <v>1016</v>
      </c>
      <c r="X28" t="s">
        <v>3</v>
      </c>
      <c r="Y28" t="s">
        <v>3</v>
      </c>
      <c r="Z28" t="s">
        <v>1017</v>
      </c>
      <c r="AA28" t="s">
        <v>152</v>
      </c>
      <c r="AB28" t="s">
        <v>1018</v>
      </c>
      <c r="AC28" t="s">
        <v>1018</v>
      </c>
      <c r="AD28" t="s">
        <v>3</v>
      </c>
      <c r="AE28" t="s">
        <v>1019</v>
      </c>
      <c r="AF28" t="s">
        <v>1020</v>
      </c>
      <c r="AG28" t="s">
        <v>254</v>
      </c>
      <c r="AH28" t="s">
        <v>48</v>
      </c>
      <c r="AI28" t="s">
        <v>1021</v>
      </c>
      <c r="AJ28" t="s">
        <v>1022</v>
      </c>
      <c r="AK28" t="s">
        <v>1020</v>
      </c>
      <c r="AL28" t="s">
        <v>254</v>
      </c>
      <c r="AM28" t="s">
        <v>48</v>
      </c>
      <c r="AN28" t="s">
        <v>337</v>
      </c>
      <c r="AO28" t="s">
        <v>1023</v>
      </c>
      <c r="AP28" t="s">
        <v>1024</v>
      </c>
      <c r="AQ28" t="s">
        <v>378</v>
      </c>
      <c r="AR28" t="s">
        <v>48</v>
      </c>
      <c r="AS28" t="s">
        <v>384</v>
      </c>
      <c r="AT28" t="s">
        <v>1025</v>
      </c>
      <c r="AU28" t="s">
        <v>3</v>
      </c>
      <c r="AV28" t="s">
        <v>5</v>
      </c>
    </row>
    <row r="29" spans="1:48" ht="90" x14ac:dyDescent="0.25">
      <c r="A29" t="s">
        <v>765</v>
      </c>
      <c r="B29" s="72" t="s">
        <v>766</v>
      </c>
      <c r="C29" t="s">
        <v>3</v>
      </c>
      <c r="D29" t="s">
        <v>767</v>
      </c>
      <c r="E29" t="s">
        <v>301</v>
      </c>
      <c r="F29" t="s">
        <v>768</v>
      </c>
      <c r="G29" t="s">
        <v>769</v>
      </c>
      <c r="H29" s="71" t="s">
        <v>770</v>
      </c>
      <c r="I29" t="s">
        <v>111</v>
      </c>
      <c r="J29" t="s">
        <v>284</v>
      </c>
      <c r="K29" t="s">
        <v>115</v>
      </c>
      <c r="L29" t="s">
        <v>771</v>
      </c>
      <c r="M29" t="s">
        <v>3</v>
      </c>
      <c r="N29" t="s">
        <v>178</v>
      </c>
      <c r="O29" t="s">
        <v>108</v>
      </c>
      <c r="P29" t="s">
        <v>286</v>
      </c>
      <c r="Q29" t="s">
        <v>771</v>
      </c>
      <c r="R29" t="s">
        <v>3</v>
      </c>
      <c r="S29" t="s">
        <v>178</v>
      </c>
      <c r="T29" t="s">
        <v>108</v>
      </c>
      <c r="U29" t="s">
        <v>286</v>
      </c>
      <c r="V29" t="s">
        <v>772</v>
      </c>
      <c r="W29" t="s">
        <v>297</v>
      </c>
      <c r="X29" t="s">
        <v>3</v>
      </c>
      <c r="Y29" t="s">
        <v>3</v>
      </c>
      <c r="Z29" t="s">
        <v>230</v>
      </c>
      <c r="AA29" t="s">
        <v>157</v>
      </c>
      <c r="AB29" t="s">
        <v>172</v>
      </c>
      <c r="AC29" t="s">
        <v>229</v>
      </c>
      <c r="AD29" t="s">
        <v>3</v>
      </c>
      <c r="AE29" t="s">
        <v>773</v>
      </c>
      <c r="AF29" t="s">
        <v>774</v>
      </c>
      <c r="AG29" t="s">
        <v>302</v>
      </c>
      <c r="AH29" t="s">
        <v>48</v>
      </c>
      <c r="AI29" t="s">
        <v>477</v>
      </c>
      <c r="AJ29" t="s">
        <v>775</v>
      </c>
      <c r="AK29" t="s">
        <v>776</v>
      </c>
      <c r="AL29" t="s">
        <v>312</v>
      </c>
      <c r="AM29" t="s">
        <v>48</v>
      </c>
      <c r="AN29" t="s">
        <v>420</v>
      </c>
      <c r="AO29" t="s">
        <v>777</v>
      </c>
      <c r="AP29" t="s">
        <v>778</v>
      </c>
      <c r="AQ29" t="s">
        <v>49</v>
      </c>
      <c r="AR29" t="s">
        <v>48</v>
      </c>
      <c r="AS29" t="s">
        <v>483</v>
      </c>
      <c r="AT29" t="s">
        <v>779</v>
      </c>
      <c r="AU29" t="s">
        <v>3</v>
      </c>
      <c r="AV29" t="s">
        <v>5</v>
      </c>
    </row>
    <row r="30" spans="1:48" ht="360" x14ac:dyDescent="0.25">
      <c r="A30" t="s">
        <v>1026</v>
      </c>
      <c r="B30" s="68" t="s">
        <v>1027</v>
      </c>
      <c r="C30" t="s">
        <v>1028</v>
      </c>
      <c r="D30" t="s">
        <v>1029</v>
      </c>
      <c r="E30" t="s">
        <v>1030</v>
      </c>
      <c r="F30" t="s">
        <v>1031</v>
      </c>
      <c r="G30" t="s">
        <v>1032</v>
      </c>
      <c r="H30" s="67" t="s">
        <v>1033</v>
      </c>
      <c r="I30" t="s">
        <v>116</v>
      </c>
      <c r="J30" t="s">
        <v>118</v>
      </c>
      <c r="K30" t="s">
        <v>109</v>
      </c>
      <c r="L30" t="s">
        <v>1034</v>
      </c>
      <c r="M30" t="s">
        <v>3</v>
      </c>
      <c r="N30" t="s">
        <v>1035</v>
      </c>
      <c r="O30" t="s">
        <v>108</v>
      </c>
      <c r="P30" t="s">
        <v>1036</v>
      </c>
      <c r="Q30" t="s">
        <v>1034</v>
      </c>
      <c r="R30" t="s">
        <v>3</v>
      </c>
      <c r="S30" t="s">
        <v>1035</v>
      </c>
      <c r="T30" t="s">
        <v>108</v>
      </c>
      <c r="U30" t="s">
        <v>1036</v>
      </c>
      <c r="V30" t="s">
        <v>1037</v>
      </c>
      <c r="W30" t="s">
        <v>1038</v>
      </c>
      <c r="X30" t="s">
        <v>3</v>
      </c>
      <c r="Y30" t="s">
        <v>3</v>
      </c>
      <c r="Z30" t="s">
        <v>126</v>
      </c>
      <c r="AA30" t="s">
        <v>113</v>
      </c>
      <c r="AB30" t="s">
        <v>112</v>
      </c>
      <c r="AC30" t="s">
        <v>125</v>
      </c>
      <c r="AD30" t="s">
        <v>3</v>
      </c>
      <c r="AE30" t="s">
        <v>1039</v>
      </c>
      <c r="AF30" t="s">
        <v>1040</v>
      </c>
      <c r="AG30" t="s">
        <v>1041</v>
      </c>
      <c r="AH30" t="s">
        <v>48</v>
      </c>
      <c r="AI30" t="s">
        <v>338</v>
      </c>
      <c r="AJ30" t="s">
        <v>1042</v>
      </c>
      <c r="AK30" t="s">
        <v>3</v>
      </c>
      <c r="AL30" t="s">
        <v>3</v>
      </c>
      <c r="AM30" t="s">
        <v>3</v>
      </c>
      <c r="AN30" t="s">
        <v>3</v>
      </c>
      <c r="AO30" t="s">
        <v>3</v>
      </c>
      <c r="AP30" t="s">
        <v>3</v>
      </c>
      <c r="AQ30" t="s">
        <v>3</v>
      </c>
      <c r="AR30" t="s">
        <v>3</v>
      </c>
      <c r="AS30" t="s">
        <v>3</v>
      </c>
      <c r="AT30" t="s">
        <v>3</v>
      </c>
      <c r="AU30" t="s">
        <v>3</v>
      </c>
      <c r="AV30" t="s">
        <v>5</v>
      </c>
    </row>
    <row r="31" spans="1:48" ht="409.5" x14ac:dyDescent="0.25">
      <c r="A31" t="s">
        <v>593</v>
      </c>
      <c r="B31" s="68" t="s">
        <v>594</v>
      </c>
      <c r="C31" t="s">
        <v>3</v>
      </c>
      <c r="D31" t="s">
        <v>595</v>
      </c>
      <c r="E31" t="s">
        <v>596</v>
      </c>
      <c r="F31" t="s">
        <v>597</v>
      </c>
      <c r="G31" t="s">
        <v>598</v>
      </c>
      <c r="H31" s="67" t="s">
        <v>599</v>
      </c>
      <c r="I31" t="s">
        <v>116</v>
      </c>
      <c r="J31" t="s">
        <v>136</v>
      </c>
      <c r="K31" t="s">
        <v>109</v>
      </c>
      <c r="L31" t="s">
        <v>600</v>
      </c>
      <c r="M31" t="s">
        <v>3</v>
      </c>
      <c r="N31" t="s">
        <v>151</v>
      </c>
      <c r="O31" t="s">
        <v>108</v>
      </c>
      <c r="P31" t="s">
        <v>168</v>
      </c>
      <c r="Q31" t="s">
        <v>600</v>
      </c>
      <c r="R31" t="s">
        <v>3</v>
      </c>
      <c r="S31" t="s">
        <v>151</v>
      </c>
      <c r="T31" t="s">
        <v>108</v>
      </c>
      <c r="U31" t="s">
        <v>168</v>
      </c>
      <c r="V31" t="s">
        <v>601</v>
      </c>
      <c r="W31" t="s">
        <v>602</v>
      </c>
      <c r="X31" t="s">
        <v>3</v>
      </c>
      <c r="Y31" t="s">
        <v>3</v>
      </c>
      <c r="Z31" t="s">
        <v>134</v>
      </c>
      <c r="AA31" t="s">
        <v>113</v>
      </c>
      <c r="AB31" t="s">
        <v>133</v>
      </c>
      <c r="AC31" t="s">
        <v>132</v>
      </c>
      <c r="AD31" t="s">
        <v>3</v>
      </c>
      <c r="AE31" t="s">
        <v>603</v>
      </c>
      <c r="AF31" t="s">
        <v>604</v>
      </c>
      <c r="AG31" t="s">
        <v>605</v>
      </c>
      <c r="AH31" t="s">
        <v>48</v>
      </c>
      <c r="AI31" t="s">
        <v>606</v>
      </c>
      <c r="AJ31" t="s">
        <v>607</v>
      </c>
      <c r="AK31" t="s">
        <v>608</v>
      </c>
      <c r="AL31" t="s">
        <v>609</v>
      </c>
      <c r="AM31" t="s">
        <v>48</v>
      </c>
      <c r="AN31" t="s">
        <v>610</v>
      </c>
      <c r="AO31" t="s">
        <v>611</v>
      </c>
      <c r="AP31" t="s">
        <v>612</v>
      </c>
      <c r="AQ31" t="s">
        <v>613</v>
      </c>
      <c r="AR31" t="s">
        <v>48</v>
      </c>
      <c r="AS31" t="s">
        <v>614</v>
      </c>
      <c r="AT31" t="s">
        <v>615</v>
      </c>
      <c r="AU31" t="s">
        <v>3</v>
      </c>
      <c r="AV31" t="s">
        <v>5</v>
      </c>
    </row>
    <row r="32" spans="1:48" ht="409.5" x14ac:dyDescent="0.25">
      <c r="A32" t="s">
        <v>1043</v>
      </c>
      <c r="B32" s="68" t="s">
        <v>1044</v>
      </c>
      <c r="C32" t="s">
        <v>3</v>
      </c>
      <c r="D32" t="s">
        <v>1045</v>
      </c>
      <c r="E32" t="s">
        <v>1046</v>
      </c>
      <c r="F32" t="s">
        <v>1047</v>
      </c>
      <c r="G32" t="s">
        <v>1048</v>
      </c>
      <c r="H32" s="67" t="s">
        <v>1049</v>
      </c>
      <c r="I32" t="s">
        <v>116</v>
      </c>
      <c r="J32" t="s">
        <v>201</v>
      </c>
      <c r="K32" t="s">
        <v>109</v>
      </c>
      <c r="L32" t="s">
        <v>1050</v>
      </c>
      <c r="M32" t="s">
        <v>3</v>
      </c>
      <c r="N32" t="s">
        <v>1051</v>
      </c>
      <c r="O32" t="s">
        <v>227</v>
      </c>
      <c r="P32" t="s">
        <v>1052</v>
      </c>
      <c r="Q32" t="s">
        <v>1050</v>
      </c>
      <c r="R32" t="s">
        <v>649</v>
      </c>
      <c r="S32" t="s">
        <v>1051</v>
      </c>
      <c r="T32" t="s">
        <v>227</v>
      </c>
      <c r="U32" t="s">
        <v>1052</v>
      </c>
      <c r="V32" t="s">
        <v>1053</v>
      </c>
      <c r="W32" t="s">
        <v>1054</v>
      </c>
      <c r="X32" t="s">
        <v>3</v>
      </c>
      <c r="Y32" t="s">
        <v>3</v>
      </c>
      <c r="Z32" t="s">
        <v>134</v>
      </c>
      <c r="AA32" t="s">
        <v>113</v>
      </c>
      <c r="AB32" t="s">
        <v>133</v>
      </c>
      <c r="AC32" t="s">
        <v>132</v>
      </c>
      <c r="AD32" t="s">
        <v>3</v>
      </c>
      <c r="AE32" t="s">
        <v>1055</v>
      </c>
      <c r="AF32" t="s">
        <v>1056</v>
      </c>
      <c r="AG32" t="s">
        <v>1057</v>
      </c>
      <c r="AH32" t="s">
        <v>48</v>
      </c>
      <c r="AI32" t="s">
        <v>1058</v>
      </c>
      <c r="AJ32" t="s">
        <v>1059</v>
      </c>
      <c r="AK32" t="s">
        <v>1060</v>
      </c>
      <c r="AL32" t="s">
        <v>280</v>
      </c>
      <c r="AM32" t="s">
        <v>48</v>
      </c>
      <c r="AN32" t="s">
        <v>1061</v>
      </c>
      <c r="AO32" t="s">
        <v>1062</v>
      </c>
      <c r="AP32" t="s">
        <v>1063</v>
      </c>
      <c r="AQ32" t="s">
        <v>1064</v>
      </c>
      <c r="AR32" t="s">
        <v>205</v>
      </c>
      <c r="AS32" t="s">
        <v>429</v>
      </c>
      <c r="AT32" t="s">
        <v>1065</v>
      </c>
      <c r="AU32" t="s">
        <v>3</v>
      </c>
      <c r="AV32" t="s">
        <v>3</v>
      </c>
    </row>
    <row r="33" spans="1:48" ht="409.5" x14ac:dyDescent="0.25">
      <c r="A33" t="s">
        <v>1043</v>
      </c>
      <c r="B33" s="68" t="s">
        <v>1044</v>
      </c>
      <c r="C33" t="s">
        <v>3</v>
      </c>
      <c r="D33" t="s">
        <v>1066</v>
      </c>
      <c r="E33" t="s">
        <v>1067</v>
      </c>
      <c r="F33" t="s">
        <v>1047</v>
      </c>
      <c r="G33" t="s">
        <v>1048</v>
      </c>
      <c r="H33" s="67" t="s">
        <v>1049</v>
      </c>
      <c r="I33" t="s">
        <v>116</v>
      </c>
      <c r="J33" t="s">
        <v>201</v>
      </c>
      <c r="K33" t="s">
        <v>109</v>
      </c>
      <c r="L33" t="s">
        <v>1050</v>
      </c>
      <c r="M33" t="s">
        <v>3</v>
      </c>
      <c r="N33" t="s">
        <v>1051</v>
      </c>
      <c r="O33" t="s">
        <v>227</v>
      </c>
      <c r="P33" t="s">
        <v>1052</v>
      </c>
      <c r="Q33" t="s">
        <v>1050</v>
      </c>
      <c r="R33" t="s">
        <v>649</v>
      </c>
      <c r="S33" t="s">
        <v>1051</v>
      </c>
      <c r="T33" t="s">
        <v>227</v>
      </c>
      <c r="U33" t="s">
        <v>1052</v>
      </c>
      <c r="V33" t="s">
        <v>1053</v>
      </c>
      <c r="W33" t="s">
        <v>1054</v>
      </c>
      <c r="X33" t="s">
        <v>3</v>
      </c>
      <c r="Y33" t="s">
        <v>3</v>
      </c>
      <c r="Z33" t="s">
        <v>134</v>
      </c>
      <c r="AA33" t="s">
        <v>113</v>
      </c>
      <c r="AB33" t="s">
        <v>133</v>
      </c>
      <c r="AC33" t="s">
        <v>132</v>
      </c>
      <c r="AD33" t="s">
        <v>3</v>
      </c>
      <c r="AE33" t="s">
        <v>1055</v>
      </c>
      <c r="AF33" t="s">
        <v>1056</v>
      </c>
      <c r="AG33" t="s">
        <v>1057</v>
      </c>
      <c r="AH33" t="s">
        <v>48</v>
      </c>
      <c r="AI33" t="s">
        <v>1058</v>
      </c>
      <c r="AJ33" t="s">
        <v>1059</v>
      </c>
      <c r="AK33" t="s">
        <v>1060</v>
      </c>
      <c r="AL33" t="s">
        <v>280</v>
      </c>
      <c r="AM33" t="s">
        <v>48</v>
      </c>
      <c r="AN33" t="s">
        <v>1061</v>
      </c>
      <c r="AO33" t="s">
        <v>1062</v>
      </c>
      <c r="AP33" t="s">
        <v>1063</v>
      </c>
      <c r="AQ33" t="s">
        <v>1064</v>
      </c>
      <c r="AR33" t="s">
        <v>205</v>
      </c>
      <c r="AS33" t="s">
        <v>429</v>
      </c>
      <c r="AT33" t="s">
        <v>1065</v>
      </c>
      <c r="AU33" t="s">
        <v>3</v>
      </c>
      <c r="AV33" t="s">
        <v>3</v>
      </c>
    </row>
    <row r="34" spans="1:48" ht="105" x14ac:dyDescent="0.25">
      <c r="A34" t="s">
        <v>780</v>
      </c>
      <c r="B34" s="72" t="s">
        <v>781</v>
      </c>
      <c r="C34" t="s">
        <v>3</v>
      </c>
      <c r="D34" t="s">
        <v>782</v>
      </c>
      <c r="E34" t="s">
        <v>783</v>
      </c>
      <c r="F34" t="s">
        <v>784</v>
      </c>
      <c r="G34" t="s">
        <v>785</v>
      </c>
      <c r="H34" s="71" t="s">
        <v>786</v>
      </c>
      <c r="I34" t="s">
        <v>116</v>
      </c>
      <c r="J34" t="s">
        <v>186</v>
      </c>
      <c r="K34" t="s">
        <v>115</v>
      </c>
      <c r="L34" t="s">
        <v>787</v>
      </c>
      <c r="M34" t="s">
        <v>3</v>
      </c>
      <c r="N34" t="s">
        <v>287</v>
      </c>
      <c r="O34" t="s">
        <v>108</v>
      </c>
      <c r="P34" t="s">
        <v>286</v>
      </c>
      <c r="Q34" t="s">
        <v>787</v>
      </c>
      <c r="R34" t="s">
        <v>788</v>
      </c>
      <c r="S34" t="s">
        <v>287</v>
      </c>
      <c r="T34" t="s">
        <v>108</v>
      </c>
      <c r="U34" t="s">
        <v>286</v>
      </c>
      <c r="V34" t="s">
        <v>789</v>
      </c>
      <c r="W34" t="s">
        <v>790</v>
      </c>
      <c r="X34" t="s">
        <v>3</v>
      </c>
      <c r="Y34" t="s">
        <v>3</v>
      </c>
      <c r="Z34" t="s">
        <v>126</v>
      </c>
      <c r="AA34" t="s">
        <v>113</v>
      </c>
      <c r="AB34" t="s">
        <v>112</v>
      </c>
      <c r="AC34" t="s">
        <v>125</v>
      </c>
      <c r="AD34" t="s">
        <v>274</v>
      </c>
      <c r="AE34" t="s">
        <v>791</v>
      </c>
      <c r="AF34" t="s">
        <v>792</v>
      </c>
      <c r="AG34" t="s">
        <v>793</v>
      </c>
      <c r="AH34" t="s">
        <v>48</v>
      </c>
      <c r="AI34" t="s">
        <v>794</v>
      </c>
      <c r="AJ34" t="s">
        <v>795</v>
      </c>
      <c r="AK34" t="s">
        <v>360</v>
      </c>
      <c r="AL34" t="s">
        <v>793</v>
      </c>
      <c r="AM34" t="s">
        <v>48</v>
      </c>
      <c r="AN34" t="s">
        <v>794</v>
      </c>
      <c r="AO34" t="s">
        <v>796</v>
      </c>
      <c r="AP34" t="s">
        <v>797</v>
      </c>
      <c r="AQ34" t="s">
        <v>798</v>
      </c>
      <c r="AR34" t="s">
        <v>48</v>
      </c>
      <c r="AS34" t="s">
        <v>799</v>
      </c>
      <c r="AT34" t="s">
        <v>800</v>
      </c>
      <c r="AU34" t="s">
        <v>3</v>
      </c>
      <c r="AV34" t="s">
        <v>5</v>
      </c>
    </row>
    <row r="35" spans="1:48" ht="409.5" x14ac:dyDescent="0.25">
      <c r="A35" t="s">
        <v>1068</v>
      </c>
      <c r="B35" s="68" t="s">
        <v>1069</v>
      </c>
      <c r="C35" t="s">
        <v>3</v>
      </c>
      <c r="D35" t="s">
        <v>1070</v>
      </c>
      <c r="E35" t="s">
        <v>1071</v>
      </c>
      <c r="F35" t="s">
        <v>1072</v>
      </c>
      <c r="G35" t="s">
        <v>1073</v>
      </c>
      <c r="H35" s="69" t="s">
        <v>1074</v>
      </c>
      <c r="I35" t="s">
        <v>116</v>
      </c>
      <c r="J35" t="s">
        <v>127</v>
      </c>
      <c r="K35" t="s">
        <v>109</v>
      </c>
      <c r="L35" t="s">
        <v>1075</v>
      </c>
      <c r="M35" t="s">
        <v>3</v>
      </c>
      <c r="N35" t="s">
        <v>108</v>
      </c>
      <c r="O35" t="s">
        <v>108</v>
      </c>
      <c r="P35" t="s">
        <v>164</v>
      </c>
      <c r="Q35" t="s">
        <v>1076</v>
      </c>
      <c r="R35" t="s">
        <v>3</v>
      </c>
      <c r="S35" t="s">
        <v>1077</v>
      </c>
      <c r="T35" t="s">
        <v>191</v>
      </c>
      <c r="U35" t="s">
        <v>1078</v>
      </c>
      <c r="V35" t="s">
        <v>1079</v>
      </c>
      <c r="W35" t="s">
        <v>1080</v>
      </c>
      <c r="X35" t="s">
        <v>3</v>
      </c>
      <c r="Y35" t="s">
        <v>3</v>
      </c>
      <c r="Z35" t="s">
        <v>161</v>
      </c>
      <c r="AA35" t="s">
        <v>113</v>
      </c>
      <c r="AB35" t="s">
        <v>160</v>
      </c>
      <c r="AC35" t="s">
        <v>159</v>
      </c>
      <c r="AD35" t="s">
        <v>3</v>
      </c>
      <c r="AE35" t="s">
        <v>1081</v>
      </c>
      <c r="AF35" t="s">
        <v>1082</v>
      </c>
      <c r="AG35" t="s">
        <v>282</v>
      </c>
      <c r="AH35" t="s">
        <v>48</v>
      </c>
      <c r="AI35" t="s">
        <v>362</v>
      </c>
      <c r="AJ35" t="s">
        <v>1083</v>
      </c>
      <c r="AK35" t="s">
        <v>1084</v>
      </c>
      <c r="AL35" t="s">
        <v>1085</v>
      </c>
      <c r="AM35" t="s">
        <v>48</v>
      </c>
      <c r="AN35" t="s">
        <v>364</v>
      </c>
      <c r="AO35" t="s">
        <v>1086</v>
      </c>
      <c r="AP35" t="s">
        <v>1087</v>
      </c>
      <c r="AQ35" t="s">
        <v>171</v>
      </c>
      <c r="AR35" t="s">
        <v>48</v>
      </c>
      <c r="AS35" t="s">
        <v>1088</v>
      </c>
      <c r="AT35" t="s">
        <v>1089</v>
      </c>
      <c r="AU35" t="s">
        <v>3</v>
      </c>
      <c r="AV35" t="s">
        <v>5</v>
      </c>
    </row>
    <row r="36" spans="1:48" ht="60" x14ac:dyDescent="0.25">
      <c r="A36" t="s">
        <v>643</v>
      </c>
      <c r="B36" s="72" t="s">
        <v>644</v>
      </c>
      <c r="C36" t="s">
        <v>3</v>
      </c>
      <c r="D36" t="s">
        <v>430</v>
      </c>
      <c r="E36" t="s">
        <v>645</v>
      </c>
      <c r="F36" t="s">
        <v>646</v>
      </c>
      <c r="G36" t="s">
        <v>647</v>
      </c>
      <c r="H36" s="71" t="s">
        <v>648</v>
      </c>
      <c r="I36" t="s">
        <v>52</v>
      </c>
      <c r="J36" t="s">
        <v>148</v>
      </c>
      <c r="K36" t="s">
        <v>51</v>
      </c>
      <c r="L36" t="s">
        <v>414</v>
      </c>
      <c r="M36" t="s">
        <v>3</v>
      </c>
      <c r="N36" t="s">
        <v>108</v>
      </c>
      <c r="O36" t="s">
        <v>108</v>
      </c>
      <c r="P36" t="s">
        <v>129</v>
      </c>
      <c r="Q36" t="s">
        <v>414</v>
      </c>
      <c r="R36" t="s">
        <v>649</v>
      </c>
      <c r="S36" t="s">
        <v>108</v>
      </c>
      <c r="T36" t="s">
        <v>108</v>
      </c>
      <c r="U36" t="s">
        <v>129</v>
      </c>
      <c r="V36" t="s">
        <v>650</v>
      </c>
      <c r="W36" t="s">
        <v>651</v>
      </c>
      <c r="X36" t="s">
        <v>3</v>
      </c>
      <c r="Y36" t="s">
        <v>3</v>
      </c>
      <c r="Z36" t="s">
        <v>124</v>
      </c>
      <c r="AA36" t="s">
        <v>113</v>
      </c>
      <c r="AB36" t="s">
        <v>123</v>
      </c>
      <c r="AC36" t="s">
        <v>122</v>
      </c>
      <c r="AD36" t="s">
        <v>3</v>
      </c>
      <c r="AE36" t="s">
        <v>652</v>
      </c>
      <c r="AF36" t="s">
        <v>634</v>
      </c>
      <c r="AG36" t="s">
        <v>269</v>
      </c>
      <c r="AH36" t="s">
        <v>48</v>
      </c>
      <c r="AI36" t="s">
        <v>653</v>
      </c>
      <c r="AJ36" t="s">
        <v>654</v>
      </c>
      <c r="AK36" t="s">
        <v>655</v>
      </c>
      <c r="AL36" t="s">
        <v>656</v>
      </c>
      <c r="AM36" t="s">
        <v>48</v>
      </c>
      <c r="AN36" t="s">
        <v>288</v>
      </c>
      <c r="AO36" t="s">
        <v>657</v>
      </c>
      <c r="AP36" t="s">
        <v>658</v>
      </c>
      <c r="AQ36" t="s">
        <v>659</v>
      </c>
      <c r="AR36" t="s">
        <v>48</v>
      </c>
      <c r="AS36" t="s">
        <v>314</v>
      </c>
      <c r="AT36" t="s">
        <v>660</v>
      </c>
      <c r="AU36" t="s">
        <v>3</v>
      </c>
      <c r="AV36" t="s">
        <v>5</v>
      </c>
    </row>
    <row r="37" spans="1:48" ht="240" x14ac:dyDescent="0.25">
      <c r="A37" t="s">
        <v>1090</v>
      </c>
      <c r="B37" s="68" t="s">
        <v>1091</v>
      </c>
      <c r="C37" t="s">
        <v>3</v>
      </c>
      <c r="D37" t="s">
        <v>1092</v>
      </c>
      <c r="E37" t="s">
        <v>1093</v>
      </c>
      <c r="F37" t="s">
        <v>1094</v>
      </c>
      <c r="G37" t="s">
        <v>1095</v>
      </c>
      <c r="H37" s="67" t="s">
        <v>1096</v>
      </c>
      <c r="I37" t="s">
        <v>116</v>
      </c>
      <c r="J37" t="s">
        <v>278</v>
      </c>
      <c r="K37" t="s">
        <v>169</v>
      </c>
      <c r="L37" t="s">
        <v>1097</v>
      </c>
      <c r="M37" t="s">
        <v>3</v>
      </c>
      <c r="N37" t="s">
        <v>108</v>
      </c>
      <c r="O37" t="s">
        <v>108</v>
      </c>
      <c r="P37" t="s">
        <v>120</v>
      </c>
      <c r="Q37" t="s">
        <v>1097</v>
      </c>
      <c r="R37" t="s">
        <v>1098</v>
      </c>
      <c r="S37" t="s">
        <v>108</v>
      </c>
      <c r="T37" t="s">
        <v>108</v>
      </c>
      <c r="U37" t="s">
        <v>120</v>
      </c>
      <c r="V37" t="s">
        <v>1099</v>
      </c>
      <c r="W37" t="s">
        <v>1100</v>
      </c>
      <c r="X37" t="s">
        <v>3</v>
      </c>
      <c r="Y37" t="s">
        <v>3</v>
      </c>
      <c r="Z37" t="s">
        <v>1101</v>
      </c>
      <c r="AA37" t="s">
        <v>113</v>
      </c>
      <c r="AB37" t="s">
        <v>133</v>
      </c>
      <c r="AC37" t="s">
        <v>1102</v>
      </c>
      <c r="AD37" t="s">
        <v>3</v>
      </c>
      <c r="AE37" t="s">
        <v>1103</v>
      </c>
      <c r="AF37" t="s">
        <v>1104</v>
      </c>
      <c r="AG37" t="s">
        <v>224</v>
      </c>
      <c r="AH37" t="s">
        <v>48</v>
      </c>
      <c r="AI37" t="s">
        <v>1105</v>
      </c>
      <c r="AJ37" t="s">
        <v>1106</v>
      </c>
      <c r="AK37" t="s">
        <v>3</v>
      </c>
      <c r="AL37" t="s">
        <v>3</v>
      </c>
      <c r="AM37" t="s">
        <v>3</v>
      </c>
      <c r="AN37" t="s">
        <v>3</v>
      </c>
      <c r="AO37" t="s">
        <v>3</v>
      </c>
      <c r="AP37" t="s">
        <v>3</v>
      </c>
      <c r="AQ37" t="s">
        <v>3</v>
      </c>
      <c r="AR37" t="s">
        <v>3</v>
      </c>
      <c r="AS37" t="s">
        <v>3</v>
      </c>
      <c r="AT37" t="s">
        <v>3</v>
      </c>
      <c r="AU37" t="s">
        <v>3</v>
      </c>
      <c r="AV37" t="s">
        <v>5</v>
      </c>
    </row>
    <row r="38" spans="1:48" ht="105" x14ac:dyDescent="0.25">
      <c r="A38" t="s">
        <v>1107</v>
      </c>
      <c r="B38" s="68" t="s">
        <v>1108</v>
      </c>
      <c r="C38" t="s">
        <v>3</v>
      </c>
      <c r="D38" t="s">
        <v>1109</v>
      </c>
      <c r="E38" t="s">
        <v>375</v>
      </c>
      <c r="F38" t="s">
        <v>1110</v>
      </c>
      <c r="G38" t="s">
        <v>1111</v>
      </c>
      <c r="H38" s="67" t="s">
        <v>1112</v>
      </c>
      <c r="I38" t="s">
        <v>116</v>
      </c>
      <c r="J38" t="s">
        <v>162</v>
      </c>
      <c r="K38" t="s">
        <v>169</v>
      </c>
      <c r="L38" t="s">
        <v>1113</v>
      </c>
      <c r="M38" t="s">
        <v>3</v>
      </c>
      <c r="N38" t="s">
        <v>151</v>
      </c>
      <c r="O38" t="s">
        <v>108</v>
      </c>
      <c r="P38" t="s">
        <v>373</v>
      </c>
      <c r="Q38" t="s">
        <v>1113</v>
      </c>
      <c r="R38" t="s">
        <v>3</v>
      </c>
      <c r="S38" t="s">
        <v>151</v>
      </c>
      <c r="T38" t="s">
        <v>108</v>
      </c>
      <c r="U38" t="s">
        <v>373</v>
      </c>
      <c r="V38" t="s">
        <v>1114</v>
      </c>
      <c r="W38" t="s">
        <v>1115</v>
      </c>
      <c r="X38" t="s">
        <v>3</v>
      </c>
      <c r="Y38" t="s">
        <v>3</v>
      </c>
      <c r="Z38" t="s">
        <v>198</v>
      </c>
      <c r="AA38" t="s">
        <v>139</v>
      </c>
      <c r="AB38" t="s">
        <v>138</v>
      </c>
      <c r="AC38" t="s">
        <v>197</v>
      </c>
      <c r="AD38" t="s">
        <v>3</v>
      </c>
      <c r="AE38" t="s">
        <v>1116</v>
      </c>
      <c r="AF38" t="s">
        <v>854</v>
      </c>
      <c r="AG38" t="s">
        <v>272</v>
      </c>
      <c r="AH38" t="s">
        <v>48</v>
      </c>
      <c r="AI38" t="s">
        <v>324</v>
      </c>
      <c r="AJ38" t="s">
        <v>1117</v>
      </c>
      <c r="AK38" t="s">
        <v>1118</v>
      </c>
      <c r="AL38" t="s">
        <v>175</v>
      </c>
      <c r="AM38" t="s">
        <v>48</v>
      </c>
      <c r="AN38" t="s">
        <v>357</v>
      </c>
      <c r="AO38" t="s">
        <v>1119</v>
      </c>
      <c r="AP38" t="s">
        <v>1120</v>
      </c>
      <c r="AQ38" t="s">
        <v>196</v>
      </c>
      <c r="AR38" t="s">
        <v>48</v>
      </c>
      <c r="AS38" t="s">
        <v>354</v>
      </c>
      <c r="AT38" t="s">
        <v>1121</v>
      </c>
      <c r="AU38" t="s">
        <v>3</v>
      </c>
      <c r="AV38" t="s">
        <v>5</v>
      </c>
    </row>
    <row r="39" spans="1:48" ht="135" x14ac:dyDescent="0.25">
      <c r="A39" t="s">
        <v>1122</v>
      </c>
      <c r="B39" s="68" t="s">
        <v>1123</v>
      </c>
      <c r="C39" t="s">
        <v>3</v>
      </c>
      <c r="D39" t="s">
        <v>1124</v>
      </c>
      <c r="E39" t="s">
        <v>1125</v>
      </c>
      <c r="F39" t="s">
        <v>1126</v>
      </c>
      <c r="G39" t="s">
        <v>1127</v>
      </c>
      <c r="H39" s="67" t="s">
        <v>1128</v>
      </c>
      <c r="I39" t="s">
        <v>111</v>
      </c>
      <c r="J39" t="s">
        <v>311</v>
      </c>
      <c r="K39" t="s">
        <v>115</v>
      </c>
      <c r="L39" t="s">
        <v>1129</v>
      </c>
      <c r="M39" t="s">
        <v>3</v>
      </c>
      <c r="N39" t="s">
        <v>1130</v>
      </c>
      <c r="O39" t="s">
        <v>108</v>
      </c>
      <c r="P39" t="s">
        <v>226</v>
      </c>
      <c r="Q39" t="s">
        <v>1129</v>
      </c>
      <c r="R39" t="s">
        <v>3</v>
      </c>
      <c r="S39" t="s">
        <v>1130</v>
      </c>
      <c r="T39" t="s">
        <v>108</v>
      </c>
      <c r="U39" t="s">
        <v>226</v>
      </c>
      <c r="V39" t="s">
        <v>1131</v>
      </c>
      <c r="W39" t="s">
        <v>1132</v>
      </c>
      <c r="X39" t="s">
        <v>3</v>
      </c>
      <c r="Y39" t="s">
        <v>3</v>
      </c>
      <c r="Z39" t="s">
        <v>161</v>
      </c>
      <c r="AA39" t="s">
        <v>113</v>
      </c>
      <c r="AB39" t="s">
        <v>160</v>
      </c>
      <c r="AC39" t="s">
        <v>159</v>
      </c>
      <c r="AD39" t="s">
        <v>3</v>
      </c>
      <c r="AE39" t="s">
        <v>736</v>
      </c>
      <c r="AF39" t="s">
        <v>1133</v>
      </c>
      <c r="AG39" t="s">
        <v>296</v>
      </c>
      <c r="AH39" t="s">
        <v>48</v>
      </c>
      <c r="AI39" t="s">
        <v>1134</v>
      </c>
      <c r="AJ39" t="s">
        <v>1135</v>
      </c>
      <c r="AK39" t="s">
        <v>1136</v>
      </c>
      <c r="AL39" t="s">
        <v>336</v>
      </c>
      <c r="AM39" t="s">
        <v>48</v>
      </c>
      <c r="AN39" t="s">
        <v>453</v>
      </c>
      <c r="AO39" t="s">
        <v>1137</v>
      </c>
      <c r="AP39" t="s">
        <v>1138</v>
      </c>
      <c r="AQ39" t="s">
        <v>137</v>
      </c>
      <c r="AR39" t="s">
        <v>48</v>
      </c>
      <c r="AS39" t="s">
        <v>457</v>
      </c>
      <c r="AT39" t="s">
        <v>1139</v>
      </c>
      <c r="AU39" t="s">
        <v>3</v>
      </c>
      <c r="AV39" t="s">
        <v>5</v>
      </c>
    </row>
    <row r="40" spans="1:48" ht="75" x14ac:dyDescent="0.25">
      <c r="A40" t="s">
        <v>1140</v>
      </c>
      <c r="B40" s="68" t="s">
        <v>1141</v>
      </c>
      <c r="C40" t="s">
        <v>3</v>
      </c>
      <c r="D40" t="s">
        <v>273</v>
      </c>
      <c r="E40" t="s">
        <v>1142</v>
      </c>
      <c r="F40" t="s">
        <v>1143</v>
      </c>
      <c r="G40" t="s">
        <v>1144</v>
      </c>
      <c r="H40" s="67" t="s">
        <v>1145</v>
      </c>
      <c r="I40" t="s">
        <v>116</v>
      </c>
      <c r="J40" t="s">
        <v>127</v>
      </c>
      <c r="K40" t="s">
        <v>115</v>
      </c>
      <c r="L40" t="s">
        <v>1146</v>
      </c>
      <c r="M40" t="s">
        <v>3</v>
      </c>
      <c r="N40" t="s">
        <v>308</v>
      </c>
      <c r="O40" t="s">
        <v>135</v>
      </c>
      <c r="P40" t="s">
        <v>313</v>
      </c>
      <c r="Q40" t="s">
        <v>1146</v>
      </c>
      <c r="R40" t="s">
        <v>3</v>
      </c>
      <c r="S40" t="s">
        <v>308</v>
      </c>
      <c r="T40" t="s">
        <v>135</v>
      </c>
      <c r="U40" t="s">
        <v>313</v>
      </c>
      <c r="V40" t="s">
        <v>1147</v>
      </c>
      <c r="W40" t="s">
        <v>1148</v>
      </c>
      <c r="X40" t="s">
        <v>3</v>
      </c>
      <c r="Y40" t="s">
        <v>3</v>
      </c>
      <c r="Z40" t="s">
        <v>271</v>
      </c>
      <c r="AA40" t="s">
        <v>113</v>
      </c>
      <c r="AB40" t="s">
        <v>112</v>
      </c>
      <c r="AC40" t="s">
        <v>270</v>
      </c>
      <c r="AD40" t="s">
        <v>3</v>
      </c>
      <c r="AE40" t="s">
        <v>1149</v>
      </c>
      <c r="AF40" t="s">
        <v>1150</v>
      </c>
      <c r="AG40" t="s">
        <v>1151</v>
      </c>
      <c r="AH40" t="s">
        <v>48</v>
      </c>
      <c r="AI40" t="s">
        <v>1152</v>
      </c>
      <c r="AJ40" t="s">
        <v>1153</v>
      </c>
      <c r="AK40" t="s">
        <v>1150</v>
      </c>
      <c r="AL40" t="s">
        <v>1154</v>
      </c>
      <c r="AM40" t="s">
        <v>48</v>
      </c>
      <c r="AN40" t="s">
        <v>359</v>
      </c>
      <c r="AO40" t="s">
        <v>1155</v>
      </c>
      <c r="AP40" t="s">
        <v>1150</v>
      </c>
      <c r="AQ40" t="s">
        <v>1156</v>
      </c>
      <c r="AR40" t="s">
        <v>48</v>
      </c>
      <c r="AS40" t="s">
        <v>359</v>
      </c>
      <c r="AT40" t="s">
        <v>1155</v>
      </c>
      <c r="AU40" t="s">
        <v>3</v>
      </c>
      <c r="AV40" t="s">
        <v>5</v>
      </c>
    </row>
    <row r="41" spans="1:48" ht="300" x14ac:dyDescent="0.25">
      <c r="A41" t="s">
        <v>1157</v>
      </c>
      <c r="B41" s="68" t="s">
        <v>1158</v>
      </c>
      <c r="C41" t="s">
        <v>3</v>
      </c>
      <c r="D41" t="s">
        <v>515</v>
      </c>
      <c r="E41" t="s">
        <v>1159</v>
      </c>
      <c r="F41" t="s">
        <v>1160</v>
      </c>
      <c r="G41" t="s">
        <v>1161</v>
      </c>
      <c r="H41" s="67" t="s">
        <v>1162</v>
      </c>
      <c r="I41" t="s">
        <v>116</v>
      </c>
      <c r="J41" t="s">
        <v>284</v>
      </c>
      <c r="K41" t="s">
        <v>169</v>
      </c>
      <c r="L41" t="s">
        <v>1163</v>
      </c>
      <c r="M41" t="s">
        <v>3</v>
      </c>
      <c r="N41" t="s">
        <v>1164</v>
      </c>
      <c r="O41" t="s">
        <v>142</v>
      </c>
      <c r="P41" t="s">
        <v>1165</v>
      </c>
      <c r="Q41" t="s">
        <v>1163</v>
      </c>
      <c r="R41" t="s">
        <v>3</v>
      </c>
      <c r="S41" t="s">
        <v>1164</v>
      </c>
      <c r="T41" t="s">
        <v>142</v>
      </c>
      <c r="U41" t="s">
        <v>1165</v>
      </c>
      <c r="V41" t="s">
        <v>1158</v>
      </c>
      <c r="W41" t="s">
        <v>1166</v>
      </c>
      <c r="X41" t="s">
        <v>3</v>
      </c>
      <c r="Y41" t="s">
        <v>3</v>
      </c>
      <c r="Z41" t="s">
        <v>1167</v>
      </c>
      <c r="AA41" t="s">
        <v>1168</v>
      </c>
      <c r="AB41" t="s">
        <v>1169</v>
      </c>
      <c r="AC41" t="s">
        <v>1170</v>
      </c>
      <c r="AD41" t="s">
        <v>3</v>
      </c>
      <c r="AE41" t="s">
        <v>1171</v>
      </c>
      <c r="AF41" t="s">
        <v>1172</v>
      </c>
      <c r="AG41" t="s">
        <v>1173</v>
      </c>
      <c r="AH41" t="s">
        <v>309</v>
      </c>
      <c r="AI41" t="s">
        <v>424</v>
      </c>
      <c r="AJ41" t="s">
        <v>1174</v>
      </c>
      <c r="AK41" t="s">
        <v>374</v>
      </c>
      <c r="AL41" t="s">
        <v>1175</v>
      </c>
      <c r="AM41" t="s">
        <v>48</v>
      </c>
      <c r="AN41" t="s">
        <v>1176</v>
      </c>
      <c r="AO41" t="s">
        <v>1177</v>
      </c>
      <c r="AP41" t="s">
        <v>374</v>
      </c>
      <c r="AQ41" t="s">
        <v>305</v>
      </c>
      <c r="AR41" t="s">
        <v>149</v>
      </c>
      <c r="AS41" t="s">
        <v>376</v>
      </c>
      <c r="AT41" t="s">
        <v>1178</v>
      </c>
      <c r="AU41" t="s">
        <v>3</v>
      </c>
      <c r="AV41" t="s">
        <v>5</v>
      </c>
    </row>
    <row r="42" spans="1:48" ht="105" x14ac:dyDescent="0.25">
      <c r="A42" t="s">
        <v>1179</v>
      </c>
      <c r="B42" s="68" t="s">
        <v>1180</v>
      </c>
      <c r="C42" t="s">
        <v>3</v>
      </c>
      <c r="D42" t="s">
        <v>128</v>
      </c>
      <c r="E42" t="s">
        <v>1181</v>
      </c>
      <c r="F42" t="s">
        <v>1182</v>
      </c>
      <c r="G42" t="s">
        <v>1183</v>
      </c>
      <c r="H42" s="67" t="s">
        <v>1184</v>
      </c>
      <c r="I42" t="s">
        <v>116</v>
      </c>
      <c r="J42" t="s">
        <v>173</v>
      </c>
      <c r="K42" t="s">
        <v>109</v>
      </c>
      <c r="L42" t="s">
        <v>1185</v>
      </c>
      <c r="M42" t="s">
        <v>3</v>
      </c>
      <c r="N42" t="s">
        <v>108</v>
      </c>
      <c r="O42" t="s">
        <v>108</v>
      </c>
      <c r="P42" t="s">
        <v>231</v>
      </c>
      <c r="Q42" t="s">
        <v>1186</v>
      </c>
      <c r="R42" t="s">
        <v>3</v>
      </c>
      <c r="S42" t="s">
        <v>108</v>
      </c>
      <c r="T42" t="s">
        <v>108</v>
      </c>
      <c r="U42" t="s">
        <v>235</v>
      </c>
      <c r="V42" t="s">
        <v>3</v>
      </c>
      <c r="W42" t="s">
        <v>1187</v>
      </c>
      <c r="X42" t="s">
        <v>3</v>
      </c>
      <c r="Y42" t="s">
        <v>3</v>
      </c>
      <c r="Z42" t="s">
        <v>161</v>
      </c>
      <c r="AA42" t="s">
        <v>113</v>
      </c>
      <c r="AB42" t="s">
        <v>160</v>
      </c>
      <c r="AC42" t="s">
        <v>159</v>
      </c>
      <c r="AD42" t="s">
        <v>192</v>
      </c>
      <c r="AE42" t="s">
        <v>1188</v>
      </c>
      <c r="AF42" t="s">
        <v>1189</v>
      </c>
      <c r="AG42" t="s">
        <v>204</v>
      </c>
      <c r="AH42" t="s">
        <v>48</v>
      </c>
      <c r="AI42" t="s">
        <v>1190</v>
      </c>
      <c r="AJ42" t="s">
        <v>1191</v>
      </c>
      <c r="AK42" t="s">
        <v>1189</v>
      </c>
      <c r="AL42" t="s">
        <v>49</v>
      </c>
      <c r="AM42" t="s">
        <v>149</v>
      </c>
      <c r="AN42" t="s">
        <v>1192</v>
      </c>
      <c r="AO42" t="s">
        <v>1193</v>
      </c>
      <c r="AP42" t="s">
        <v>1189</v>
      </c>
      <c r="AQ42" t="s">
        <v>165</v>
      </c>
      <c r="AR42" t="s">
        <v>149</v>
      </c>
      <c r="AS42" t="s">
        <v>1194</v>
      </c>
      <c r="AT42" t="s">
        <v>1195</v>
      </c>
      <c r="AU42" t="s">
        <v>3</v>
      </c>
      <c r="AV42" t="s">
        <v>5</v>
      </c>
    </row>
    <row r="43" spans="1:48" ht="60" x14ac:dyDescent="0.25">
      <c r="A43" t="s">
        <v>801</v>
      </c>
      <c r="B43" s="72" t="s">
        <v>802</v>
      </c>
      <c r="C43" t="s">
        <v>3</v>
      </c>
      <c r="D43" t="s">
        <v>803</v>
      </c>
      <c r="E43" t="s">
        <v>804</v>
      </c>
      <c r="F43" t="s">
        <v>805</v>
      </c>
      <c r="G43" t="s">
        <v>806</v>
      </c>
      <c r="H43" s="71" t="s">
        <v>807</v>
      </c>
      <c r="I43" t="s">
        <v>116</v>
      </c>
      <c r="J43" t="s">
        <v>127</v>
      </c>
      <c r="K43" t="s">
        <v>169</v>
      </c>
      <c r="L43" t="s">
        <v>808</v>
      </c>
      <c r="M43" t="s">
        <v>3</v>
      </c>
      <c r="N43" t="s">
        <v>809</v>
      </c>
      <c r="O43" t="s">
        <v>108</v>
      </c>
      <c r="P43" t="s">
        <v>181</v>
      </c>
      <c r="Q43" t="s">
        <v>808</v>
      </c>
      <c r="R43" t="s">
        <v>3</v>
      </c>
      <c r="S43" t="s">
        <v>809</v>
      </c>
      <c r="T43" t="s">
        <v>108</v>
      </c>
      <c r="U43" t="s">
        <v>181</v>
      </c>
      <c r="V43" t="s">
        <v>3</v>
      </c>
      <c r="W43" t="s">
        <v>810</v>
      </c>
      <c r="X43" t="s">
        <v>3</v>
      </c>
      <c r="Y43" t="s">
        <v>3</v>
      </c>
      <c r="Z43" t="s">
        <v>811</v>
      </c>
      <c r="AA43" t="s">
        <v>379</v>
      </c>
      <c r="AB43" t="s">
        <v>812</v>
      </c>
      <c r="AC43" t="s">
        <v>813</v>
      </c>
      <c r="AD43" t="s">
        <v>3</v>
      </c>
      <c r="AE43" t="s">
        <v>814</v>
      </c>
      <c r="AF43" t="s">
        <v>815</v>
      </c>
      <c r="AG43" t="s">
        <v>816</v>
      </c>
      <c r="AH43" t="s">
        <v>295</v>
      </c>
      <c r="AI43" t="s">
        <v>817</v>
      </c>
      <c r="AJ43" t="s">
        <v>818</v>
      </c>
      <c r="AK43" t="s">
        <v>819</v>
      </c>
      <c r="AL43" t="s">
        <v>820</v>
      </c>
      <c r="AM43" t="s">
        <v>295</v>
      </c>
      <c r="AN43" t="s">
        <v>821</v>
      </c>
      <c r="AO43" t="s">
        <v>818</v>
      </c>
      <c r="AP43" t="s">
        <v>822</v>
      </c>
      <c r="AQ43" t="s">
        <v>823</v>
      </c>
      <c r="AR43" t="s">
        <v>295</v>
      </c>
      <c r="AS43" t="s">
        <v>824</v>
      </c>
      <c r="AT43" t="s">
        <v>825</v>
      </c>
      <c r="AU43" t="s">
        <v>3</v>
      </c>
      <c r="AV43" t="s">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sqref="A1:A6"/>
    </sheetView>
  </sheetViews>
  <sheetFormatPr defaultRowHeight="15" x14ac:dyDescent="0.25"/>
  <cols>
    <col min="1" max="1" width="17.85546875" bestFit="1" customWidth="1"/>
  </cols>
  <sheetData>
    <row r="1" spans="1:1" x14ac:dyDescent="0.25">
      <c r="A1" s="50" t="s">
        <v>21</v>
      </c>
    </row>
    <row r="2" spans="1:1" x14ac:dyDescent="0.25">
      <c r="A2" s="51" t="s">
        <v>22</v>
      </c>
    </row>
    <row r="3" spans="1:1" x14ac:dyDescent="0.25">
      <c r="A3" s="51" t="s">
        <v>23</v>
      </c>
    </row>
    <row r="4" spans="1:1" x14ac:dyDescent="0.25">
      <c r="A4" s="51" t="s">
        <v>24</v>
      </c>
    </row>
    <row r="5" spans="1:1" x14ac:dyDescent="0.25">
      <c r="A5" s="51" t="s">
        <v>25</v>
      </c>
    </row>
    <row r="6" spans="1:1" x14ac:dyDescent="0.25">
      <c r="A6" s="51" t="s">
        <v>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1"/>
  <sheetViews>
    <sheetView workbookViewId="0">
      <selection activeCell="C7" sqref="C7"/>
    </sheetView>
  </sheetViews>
  <sheetFormatPr defaultRowHeight="15" x14ac:dyDescent="0.25"/>
  <cols>
    <col min="1" max="2" width="47.28515625" customWidth="1"/>
    <col min="3" max="3" width="76.42578125" customWidth="1"/>
  </cols>
  <sheetData>
    <row r="1" spans="2:3" x14ac:dyDescent="0.25">
      <c r="C1">
        <f>Sheet3!C17</f>
        <v>0</v>
      </c>
    </row>
    <row r="7" spans="2:3" x14ac:dyDescent="0.25">
      <c r="B7">
        <v>2</v>
      </c>
      <c r="C7" t="str">
        <f>IF(SUM(B7:B8)=B6,"yes","no")</f>
        <v>no</v>
      </c>
    </row>
    <row r="8" spans="2:3" x14ac:dyDescent="0.25">
      <c r="B8">
        <v>3</v>
      </c>
    </row>
    <row r="11" spans="2:3" x14ac:dyDescent="0.25">
      <c r="C1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Worksheet</vt:lpstr>
      <vt:lpstr>Procurement Software </vt:lpstr>
      <vt:lpstr>Procurement Development </vt:lpstr>
      <vt:lpstr>Sheet1</vt:lpstr>
      <vt:lpstr>Sheet3</vt:lpstr>
      <vt:lpstr>Instructions!Print_Area</vt:lpstr>
      <vt:lpstr>Worksheet!Print_Area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Yam</dc:creator>
  <cp:lastModifiedBy>George, Philip (MOCS)</cp:lastModifiedBy>
  <cp:lastPrinted>2021-01-15T21:11:24Z</cp:lastPrinted>
  <dcterms:created xsi:type="dcterms:W3CDTF">2017-03-21T17:08:14Z</dcterms:created>
  <dcterms:modified xsi:type="dcterms:W3CDTF">2024-11-19T15:34:31Z</dcterms:modified>
</cp:coreProperties>
</file>